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-Zander/SPI/01_raw_data/4.1_SOCS/raw/input/"/>
    </mc:Choice>
  </mc:AlternateContent>
  <xr:revisionPtr revIDLastSave="964" documentId="13_ncr:1_{17EAEE1A-41FB-4CD3-9F15-C67EE73EE4D1}" xr6:coauthVersionLast="47" xr6:coauthVersionMax="47" xr10:uidLastSave="{5C63E959-6406-FB47-9A00-D4C2A7A1D8C6}"/>
  <bookViews>
    <workbookView xWindow="0" yWindow="660" windowWidth="34560" windowHeight="21680" xr2:uid="{B1D4A2B0-B996-4285-8899-E61063B05042}"/>
  </bookViews>
  <sheets>
    <sheet name="Data" sheetId="13" r:id="rId1"/>
    <sheet name="2020 DCS" sheetId="14" r:id="rId2"/>
  </sheets>
  <definedNames>
    <definedName name="_xlnm._FilterDatabase" localSheetId="1" hidden="1">'2020 DCS'!$A$2:$AM$2</definedName>
    <definedName name="_xlnm._FilterDatabase" localSheetId="0" hidden="1">Data!$A$3:$BE$76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" i="13" l="1"/>
  <c r="AX6" i="13"/>
  <c r="AX7" i="13"/>
  <c r="AX8" i="13"/>
  <c r="AX9" i="13"/>
  <c r="AX10" i="13"/>
  <c r="AX11" i="13"/>
  <c r="AX12" i="13"/>
  <c r="AX13" i="13"/>
  <c r="AX14" i="13"/>
  <c r="AX15" i="13"/>
  <c r="AX16" i="13"/>
  <c r="AX17" i="13"/>
  <c r="AX18" i="13"/>
  <c r="AX19" i="13"/>
  <c r="AX20" i="13"/>
  <c r="AX21" i="13"/>
  <c r="AX22" i="13"/>
  <c r="AX23" i="13"/>
  <c r="AX24" i="13"/>
  <c r="AX25" i="13"/>
  <c r="AX26" i="13"/>
  <c r="AX27" i="13"/>
  <c r="AX28" i="13"/>
  <c r="AX29" i="13"/>
  <c r="AX30" i="13"/>
  <c r="AX31" i="13"/>
  <c r="AX32" i="13"/>
  <c r="AX33" i="13"/>
  <c r="AX34" i="13"/>
  <c r="AX35" i="13"/>
  <c r="AX36" i="13"/>
  <c r="AX37" i="13"/>
  <c r="AX38" i="13"/>
  <c r="AX39" i="13"/>
  <c r="AX40" i="13"/>
  <c r="AX41" i="13"/>
  <c r="AX42" i="13"/>
  <c r="AX43" i="13"/>
  <c r="AX44" i="13"/>
  <c r="AX45" i="13"/>
  <c r="AX46" i="13"/>
  <c r="AX47" i="13"/>
  <c r="AX48" i="13"/>
  <c r="AX49" i="13"/>
  <c r="AX50" i="13"/>
  <c r="AX51" i="13"/>
  <c r="AX52" i="13"/>
  <c r="AX53" i="13"/>
  <c r="AX54" i="13"/>
  <c r="AX55" i="13"/>
  <c r="AX56" i="13"/>
  <c r="AX57" i="13"/>
  <c r="AX58" i="13"/>
  <c r="AX59" i="13"/>
  <c r="AX60" i="13"/>
  <c r="AX61" i="13"/>
  <c r="AX62" i="13"/>
  <c r="AX63" i="13"/>
  <c r="AX64" i="13"/>
  <c r="AX65" i="13"/>
  <c r="AX66" i="13"/>
  <c r="AX67" i="13"/>
  <c r="AX68" i="13"/>
  <c r="AX69" i="13"/>
  <c r="AX70" i="13"/>
  <c r="AX71" i="13"/>
  <c r="AX72" i="13"/>
  <c r="AX73" i="13"/>
  <c r="AX74" i="13"/>
  <c r="AX75" i="13"/>
  <c r="AX76" i="13"/>
  <c r="AX77" i="13"/>
  <c r="AX78" i="13"/>
  <c r="AX79" i="13"/>
  <c r="AX80" i="13"/>
  <c r="AX81" i="13"/>
  <c r="AX82" i="13"/>
  <c r="AX83" i="13"/>
  <c r="AX84" i="13"/>
  <c r="AX85" i="13"/>
  <c r="AX86" i="13"/>
  <c r="AX87" i="13"/>
  <c r="AX88" i="13"/>
  <c r="AX89" i="13"/>
  <c r="AX90" i="13"/>
  <c r="AX91" i="13"/>
  <c r="AX92" i="13"/>
  <c r="AX93" i="13"/>
  <c r="AX94" i="13"/>
  <c r="AX95" i="13"/>
  <c r="AX96" i="13"/>
  <c r="AX97" i="13"/>
  <c r="AX98" i="13"/>
  <c r="AX99" i="13"/>
  <c r="AX100" i="13"/>
  <c r="AX101" i="13"/>
  <c r="AX102" i="13"/>
  <c r="AX103" i="13"/>
  <c r="AX104" i="13"/>
  <c r="AX105" i="13"/>
  <c r="AX106" i="13"/>
  <c r="AX107" i="13"/>
  <c r="AX108" i="13"/>
  <c r="AX109" i="13"/>
  <c r="AX110" i="13"/>
  <c r="AX111" i="13"/>
  <c r="AX112" i="13"/>
  <c r="AX113" i="13"/>
  <c r="AX114" i="13"/>
  <c r="AX115" i="13"/>
  <c r="AX116" i="13"/>
  <c r="AX117" i="13"/>
  <c r="AX118" i="13"/>
  <c r="AX119" i="13"/>
  <c r="AX120" i="13"/>
  <c r="AX121" i="13"/>
  <c r="AX122" i="13"/>
  <c r="AX123" i="13"/>
  <c r="AX124" i="13"/>
  <c r="AX125" i="13"/>
  <c r="AX126" i="13"/>
  <c r="AX127" i="13"/>
  <c r="AX128" i="13"/>
  <c r="AX129" i="13"/>
  <c r="AX130" i="13"/>
  <c r="AX131" i="13"/>
  <c r="AX132" i="13"/>
  <c r="AX133" i="13"/>
  <c r="AX134" i="13"/>
  <c r="AX135" i="13"/>
  <c r="AX136" i="13"/>
  <c r="AX137" i="13"/>
  <c r="AX138" i="13"/>
  <c r="AX139" i="13"/>
  <c r="AX140" i="13"/>
  <c r="AX141" i="13"/>
  <c r="AX142" i="13"/>
  <c r="AX143" i="13"/>
  <c r="AX144" i="13"/>
  <c r="AX145" i="13"/>
  <c r="AX146" i="13"/>
  <c r="AX147" i="13"/>
  <c r="AX148" i="13"/>
  <c r="AX149" i="13"/>
  <c r="AX150" i="13"/>
  <c r="AX151" i="13"/>
  <c r="AX152" i="13"/>
  <c r="AX153" i="13"/>
  <c r="AX154" i="13"/>
  <c r="AX155" i="13"/>
  <c r="AX156" i="13"/>
  <c r="AX157" i="13"/>
  <c r="AX158" i="13"/>
  <c r="AX159" i="13"/>
  <c r="AX160" i="13"/>
  <c r="AX161" i="13"/>
  <c r="AX162" i="13"/>
  <c r="AX163" i="13"/>
  <c r="AX164" i="13"/>
  <c r="AX165" i="13"/>
  <c r="AX166" i="13"/>
  <c r="AX167" i="13"/>
  <c r="AX168" i="13"/>
  <c r="AX169" i="13"/>
  <c r="AX170" i="13"/>
  <c r="AX171" i="13"/>
  <c r="AX172" i="13"/>
  <c r="AX173" i="13"/>
  <c r="AX174" i="13"/>
  <c r="AX175" i="13"/>
  <c r="AX176" i="13"/>
  <c r="AX177" i="13"/>
  <c r="AX178" i="13"/>
  <c r="AX179" i="13"/>
  <c r="AX180" i="13"/>
  <c r="AX181" i="13"/>
  <c r="AX182" i="13"/>
  <c r="AX183" i="13"/>
  <c r="AX184" i="13"/>
  <c r="AX185" i="13"/>
  <c r="AX186" i="13"/>
  <c r="AX187" i="13"/>
  <c r="AX188" i="13"/>
  <c r="AX189" i="13"/>
  <c r="AX190" i="13"/>
  <c r="AX191" i="13"/>
  <c r="AX192" i="13"/>
  <c r="AX193" i="13"/>
  <c r="AX4" i="13"/>
  <c r="A5" i="13" l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D1" i="13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AC1" i="13" s="1"/>
  <c r="AD1" i="13" s="1"/>
  <c r="AE1" i="13" s="1"/>
  <c r="AF1" i="13" s="1"/>
  <c r="AG1" i="13" s="1"/>
  <c r="AH1" i="13" s="1"/>
  <c r="AI1" i="13" s="1"/>
  <c r="AJ1" i="13" s="1"/>
  <c r="AK1" i="13" s="1"/>
  <c r="AL1" i="13" s="1"/>
  <c r="AM1" i="13" s="1"/>
  <c r="AN1" i="13" s="1"/>
  <c r="AO1" i="13" s="1"/>
  <c r="AP1" i="13" s="1"/>
  <c r="AQ1" i="13" s="1"/>
  <c r="AR1" i="13" s="1"/>
  <c r="AS1" i="13" s="1"/>
  <c r="AT1" i="13" s="1"/>
  <c r="AU1" i="13" s="1"/>
  <c r="AV1" i="13" s="1"/>
  <c r="AW1" i="13" s="1"/>
  <c r="AX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Aieshwarya Davis</author>
    <author>Dereje Ketema Wolde</author>
  </authors>
  <commentList>
    <comment ref="X4" authorId="0" shapeId="0" xr:uid="{D7469542-731C-453A-9000-449301507ED6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National Risk and Vulnerability Assessment 2003</t>
        </r>
      </text>
    </comment>
    <comment ref="Z4" authorId="0" shapeId="0" xr:uid="{BE3E944F-B79E-4420-B6F1-856E2E0DF12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Risk and Vulnerability Assessment 2005
</t>
        </r>
      </text>
    </comment>
    <comment ref="AB4" authorId="0" shapeId="0" xr:uid="{38636C41-2875-41FF-AB2D-939B4C6F62B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Afghanistan living conditions survey
</t>
        </r>
      </text>
    </comment>
    <comment ref="AF4" authorId="0" shapeId="0" xr:uid="{FEDA29A4-AAFD-4E8C-AD7F-3A577CF981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Afghanistan living conditions survey
</t>
        </r>
      </text>
    </comment>
    <comment ref="AH4" authorId="0" shapeId="0" xr:uid="{4E6C0F9B-803E-427F-A079-7AB5FF620E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Afghanistan Living Conditions survey
</t>
        </r>
      </text>
    </comment>
    <comment ref="AI4" authorId="0" shapeId="0" xr:uid="{C6AE957D-61B0-418A-91F5-513A6AB201F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Afghanistan Living Conditions survey</t>
        </r>
      </text>
    </comment>
    <comment ref="AK4" authorId="0" shapeId="0" xr:uid="{B8C4237D-5194-4666-B642-5AAE9FDF9B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Afghanistan Living Conditions Survey</t>
        </r>
      </text>
    </comment>
    <comment ref="AL4" authorId="0" shapeId="0" xr:uid="{B961B7B9-36CE-46A7-BCC7-92430C6E9EF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Multidimensional poverty index report</t>
        </r>
      </text>
    </comment>
    <comment ref="AN4" authorId="0" shapeId="0" xr:uid="{0A016A6C-41CF-4E29-AC6D-05B70E39C01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Afghanistan Income Expenditure and Labor Force Survey</t>
        </r>
      </text>
    </comment>
    <comment ref="W5" authorId="0" shapeId="0" xr:uid="{334CCEC2-07AC-4CD7-BC1B-71A10DCF36D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Measurement Survey
</t>
        </r>
      </text>
    </comment>
    <comment ref="X5" authorId="0" shapeId="0" xr:uid="{CC8DB248-FE52-49BC-AFEE-6D5E6836F0F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 </t>
        </r>
      </text>
    </comment>
    <comment ref="Y5" authorId="0" shapeId="0" xr:uid="{7E95170A-FE77-49E4-9383-CD76A49AA2B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 </t>
        </r>
      </text>
    </comment>
    <comment ref="Z5" authorId="0" shapeId="0" xr:uid="{0B1B8CCD-9C68-4B15-A8F6-CE2D9E545CD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Measurement Survey
</t>
        </r>
      </text>
    </comment>
    <comment ref="AA5" authorId="0" shapeId="0" xr:uid="{73EC7EEE-9232-4753-B3E4-637149797E2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2006
</t>
        </r>
      </text>
    </comment>
    <comment ref="AC5" authorId="0" shapeId="0" xr:uid="{8E2B0DE9-D10F-4F4A-B6C6-50AB2B5018B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Measurement Survey
</t>
        </r>
      </text>
    </comment>
    <comment ref="AD5" authorId="0" shapeId="0" xr:uid="{19EB7584-7582-4475-912C-2CE35113A607}">
      <text>
        <r>
          <rPr>
            <b/>
            <sz val="9"/>
            <color indexed="81"/>
            <rFont val="Tahoma"/>
            <family val="2"/>
          </rPr>
          <t xml:space="preserve">Aieshwarya Davis: 
</t>
        </r>
        <r>
          <rPr>
            <sz val="9"/>
            <color indexed="81"/>
            <rFont val="Tahoma"/>
            <family val="2"/>
          </rPr>
          <t>Household budget survey</t>
        </r>
      </text>
    </comment>
    <comment ref="AG5" authorId="0" shapeId="0" xr:uid="{F8CCB3A4-3EBB-43FE-A0E4-75E96C8FC7E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 2012
</t>
        </r>
      </text>
    </comment>
    <comment ref="AI5" authorId="0" shapeId="0" xr:uid="{749DE746-73F2-4E9A-8DB2-D6254BFDE7E5}">
      <text>
        <r>
          <rPr>
            <b/>
            <sz val="9"/>
            <color indexed="81"/>
            <rFont val="Tahoma"/>
            <family val="2"/>
          </rPr>
          <t xml:space="preserve">Aieshwarya Davis: 
</t>
        </r>
        <r>
          <rPr>
            <sz val="9"/>
            <color indexed="81"/>
            <rFont val="Tahoma"/>
            <family val="2"/>
          </rPr>
          <t>Household budget survey</t>
        </r>
      </text>
    </comment>
    <comment ref="AJ5" authorId="0" shapeId="0" xr:uid="{98C1CADF-B571-4732-B03A-F7693A1C55F5}">
      <text>
        <r>
          <rPr>
            <b/>
            <sz val="9"/>
            <color indexed="81"/>
            <rFont val="Tahoma"/>
            <family val="2"/>
          </rPr>
          <t xml:space="preserve">Aieshwarya Davis: 
</t>
        </r>
        <r>
          <rPr>
            <sz val="9"/>
            <color indexed="81"/>
            <rFont val="Tahoma"/>
            <family val="2"/>
          </rPr>
          <t>Household budget survey</t>
        </r>
      </text>
    </comment>
    <comment ref="AK5" authorId="0" shapeId="0" xr:uid="{8382E265-7110-4F55-8512-11C590C89F90}">
      <text>
        <r>
          <rPr>
            <b/>
            <sz val="9"/>
            <color indexed="81"/>
            <rFont val="Tahoma"/>
            <family val="2"/>
          </rPr>
          <t xml:space="preserve">Aieshwarya Davis: 
</t>
        </r>
        <r>
          <rPr>
            <sz val="9"/>
            <color indexed="81"/>
            <rFont val="Tahoma"/>
            <family val="2"/>
          </rPr>
          <t>Household budget survey</t>
        </r>
      </text>
    </comment>
    <comment ref="AE6" authorId="0" shapeId="0" xr:uid="{F9918F63-9864-4677-91B2-A4EC7F65409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sur les Dépenses de Consommation et le Niveau de Vie des Ménages Algériens 2011</t>
        </r>
      </text>
    </comment>
    <comment ref="T7" authorId="0" shapeId="0" xr:uid="{9DFF8A89-9DFE-4D14-8B17-80E1F602AB5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1999 Household Expenditure and Revenue survey
</t>
        </r>
      </text>
    </comment>
    <comment ref="U7" authorId="0" shapeId="0" xr:uid="{7DE85D39-12CB-434E-9265-76DE85FE29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aos Agregados Familiares sobre Despesas e Receitas 2000</t>
        </r>
      </text>
    </comment>
    <comment ref="Z7" authorId="0" shapeId="0" xr:uid="{35C96118-95DD-4D04-BA82-D4B01A1006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2005 Survey of Basic Welfare Indicators
</t>
        </r>
      </text>
    </comment>
    <comment ref="AC7" authorId="0" shapeId="0" xr:uid="{FA3DB96B-EA00-41BF-9D8E-20F35530675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aos Agregados Familiares sobre Despesas e Receitas 2008</t>
        </r>
      </text>
    </comment>
    <comment ref="AD7" authorId="0" shapeId="0" xr:uid="{9610268D-2BE1-4FFB-8E62-F5BDF38667B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Survey on Population Well-Being 2008-2009, IDR II and MICS III
</t>
        </r>
      </text>
    </comment>
    <comment ref="AF7" authorId="1" shapeId="0" xr:uid="{DC2C9CD8-B0A9-492A-9984-159FCC992C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https://www.ine.gov.ao/images/Populacao_Sociedade/QUIBB_2011_Analitico.pdf</t>
        </r>
      </text>
    </comment>
    <comment ref="AM7" authorId="0" shapeId="0" xr:uid="{EB2B3DB3-F6AA-4EEC-B3B2-F4326F0169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de Despesas, Receitas e Emprego em Angola</t>
        </r>
      </text>
    </comment>
    <comment ref="Z8" authorId="0" shapeId="0" xr:uid="{D15CED15-3503-4612-898B-A75E7B489D0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Budgets (SLC-HBS) 2005/06</t>
        </r>
      </text>
    </comment>
    <comment ref="S9" authorId="0" shapeId="0" xr:uid="{A33EFFA9-EF7F-41F3-B1AE-87EB0830757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1998 - SEDLAC - Base de Datos Armonizada
</t>
        </r>
      </text>
    </comment>
    <comment ref="T9" authorId="0" shapeId="0" xr:uid="{642025AC-4942-4B5D-8D0C-3CAC67E9F76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Permanent Household Survey 1999 - SEDLAC - Harmonized Database
</t>
        </r>
      </text>
    </comment>
    <comment ref="U9" authorId="0" shapeId="0" xr:uid="{3DE0C97E-45E7-480A-9AA4-709BC78A709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V9" authorId="0" shapeId="0" xr:uid="{4FA89CCF-2DC9-4677-8CF3-F09701B151E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W9" authorId="0" shapeId="0" xr:uid="{EA545429-7E90-443B-90A6-0C479B7C192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X9" authorId="0" shapeId="0" xr:uid="{FA8E1BAA-0F96-43FC-80EF-6DDBC43C841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Y9" authorId="0" shapeId="0" xr:uid="{BAABED39-1C90-4A02-98C0-9ADE41151AD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Z9" authorId="0" shapeId="0" xr:uid="{F7DA2712-8735-43FC-94CE-7465E1FE924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AA9" authorId="0" shapeId="0" xr:uid="{A2068F27-1874-40B3-A445-4DC6D24BC09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AB9" authorId="0" shapeId="0" xr:uid="{2E1D57FD-5420-45B2-888D-5ECADF86263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AC9" authorId="0" shapeId="0" xr:uid="{E36B091D-0B27-4A02-8FFF-2BFA597AC5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AD9" authorId="0" shapeId="0" xr:uid="{D5D7C14B-FB4D-44B7-BD83-EF24C48CD37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2009</t>
        </r>
      </text>
    </comment>
    <comment ref="AE9" authorId="0" shapeId="0" xr:uid="{C8CEAD34-307F-43CE-A575-61A97BCC6D8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2010
</t>
        </r>
      </text>
    </comment>
    <comment ref="AF9" authorId="0" shapeId="0" xr:uid="{BD097089-D031-4C93-B879-84735DF6C49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2011
</t>
        </r>
      </text>
    </comment>
    <comment ref="AG9" authorId="0" shapeId="0" xr:uid="{A8AD74B3-14BE-4B3F-BA9A-2307598FEF4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2012
</t>
        </r>
      </text>
    </comment>
    <comment ref="AH9" authorId="0" shapeId="0" xr:uid="{104C3607-2EF1-4711-8248-3F66A2833F1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2013</t>
        </r>
      </text>
    </comment>
    <comment ref="AI9" authorId="0" shapeId="0" xr:uid="{245CD85A-1D67-4700-BF84-39341B856D8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2014</t>
        </r>
      </text>
    </comment>
    <comment ref="AJ9" authorId="0" shapeId="0" xr:uid="{44FF727C-CD10-45D2-9FA8-1BF4872B3E28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Continuous permanent Household Survey 2015</t>
        </r>
      </text>
    </comment>
    <comment ref="AK9" authorId="0" shapeId="0" xr:uid="{2F5E84D1-128C-4FF3-9CA4-359C5450DF0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Argentina - Encuesta Permanente de Hogares Continua 2016, Segundo Semestre</t>
        </r>
      </text>
    </comment>
    <comment ref="AL9" authorId="0" shapeId="0" xr:uid="{659D069A-888B-4884-98EF-B8D54EC4BF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2017, Segundo Semestre</t>
        </r>
      </text>
    </comment>
    <comment ref="AM9" authorId="0" shapeId="0" xr:uid="{264BAAB0-D9A2-4739-8116-31D81ABF269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Continua 2018, Segundo Semestre</t>
        </r>
      </text>
    </comment>
    <comment ref="V10" authorId="0" shapeId="0" xr:uid="{DA703F0E-E247-461D-B2A0-0A03CB129A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W10" authorId="0" shapeId="0" xr:uid="{A85EB86F-B620-44DD-B8CD-34E94E27DB0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X10" authorId="0" shapeId="0" xr:uid="{1F41F8A1-57E5-4CF8-8D55-66AEAA3B67F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Y10" authorId="0" shapeId="0" xr:uid="{D5327DC1-8364-42C5-982F-B1178C3AAD9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Z10" authorId="0" shapeId="0" xr:uid="{15C66D53-60CD-45FE-957B-541DD2EDF8D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AA10" authorId="0" shapeId="0" xr:uid="{B05D1C6A-49AC-400F-BEDC-A6A4FFD9831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AB10" authorId="0" shapeId="0" xr:uid="{3050EE1C-F19D-484C-B4B8-21FB6D8B867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AC10" authorId="0" shapeId="0" xr:uid="{BC48CCC6-BF84-443E-9649-6A6660C781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AD10" authorId="0" shapeId="0" xr:uid="{4EDEE3AC-CB6A-4866-A988-6CE4FC81FED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
</t>
        </r>
      </text>
    </comment>
    <comment ref="AE10" authorId="0" shapeId="0" xr:uid="{84A89C85-A8BE-4952-8EBA-8E2D8751698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2010</t>
        </r>
      </text>
    </comment>
    <comment ref="AF10" authorId="0" shapeId="0" xr:uid="{74728F1B-5155-46A5-8A6F-A518582CE00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2011</t>
        </r>
      </text>
    </comment>
    <comment ref="AG10" authorId="0" shapeId="0" xr:uid="{8DABC8E4-9C95-4D45-803B-49156026B59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2012
</t>
        </r>
      </text>
    </comment>
    <comment ref="AH10" authorId="0" shapeId="0" xr:uid="{6F53D19D-5CB6-4BAB-B1A6-64184F46226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2013</t>
        </r>
      </text>
    </comment>
    <comment ref="AI10" authorId="0" shapeId="0" xr:uid="{E81A3ACF-DAF0-4482-8CA6-D02F92184F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2014</t>
        </r>
      </text>
    </comment>
    <comment ref="AJ10" authorId="0" shapeId="0" xr:uid="{5AE459AB-C090-4A6F-AE04-F82C044502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2015</t>
        </r>
      </text>
    </comment>
    <comment ref="AK10" authorId="0" shapeId="0" xr:uid="{46E4A422-793F-4B2B-B245-827E58A8EBC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2016</t>
        </r>
      </text>
    </comment>
    <comment ref="AL10" authorId="0" shapeId="0" xr:uid="{2839F0EB-4172-4573-A50A-C0CAAFCA59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2017
</t>
        </r>
      </text>
    </comment>
    <comment ref="AM10" authorId="0" shapeId="0" xr:uid="{AF22725E-13A3-4515-A9E5-30B44A05F0A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2018
</t>
        </r>
      </text>
    </comment>
    <comment ref="AN10" authorId="0" shapeId="0" xr:uid="{B56A8FDA-AA9F-4EC4-B38E-B53F38A86B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Living Conditions Survey 2019</t>
        </r>
      </text>
    </comment>
    <comment ref="V11" authorId="0" shapeId="0" xr:uid="{9A5804CF-A0B3-4283-BFD8-01A2DE7EFF5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11" authorId="0" shapeId="0" xr:uid="{EEE8E4A5-83A4-4B64-BEE2-98FE0053793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1" authorId="0" shapeId="0" xr:uid="{C6362D63-DEF5-4CBC-B8A4-1B4543D66CA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1" authorId="0" shapeId="0" xr:uid="{71CAE618-BEC1-40FE-A615-2A63DFCD527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Z11" authorId="0" shapeId="0" xr:uid="{1400771E-99EF-415A-A173-5A70F48A4E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C11" authorId="0" shapeId="0" xr:uid="{B484C516-CF3A-468B-86EF-0619B4514F0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Survey on Monitoring Targeted Social Assistance Programme 2008
</t>
        </r>
      </text>
    </comment>
    <comment ref="AD11" authorId="0" shapeId="0" xr:uid="{DE2B54BE-BF7A-4520-8A91-2793B415C02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Financial Literacy Survey 2009
</t>
        </r>
      </text>
    </comment>
    <comment ref="AE11" authorId="0" shapeId="0" xr:uid="{C7338317-189A-4B10-B305-90C1D30E1EE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F11" authorId="0" shapeId="0" xr:uid="{0382F036-9630-4345-B2B7-093681F6A18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G11" authorId="0" shapeId="0" xr:uid="{BEC03B74-EA70-4721-8C39-9359E99017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H11" authorId="0" shapeId="0" xr:uid="{C40DF496-F819-4042-B3CC-0039499719E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I11" authorId="0" shapeId="0" xr:uid="{03312320-062C-405D-B46C-487684D0A14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J11" authorId="0" shapeId="0" xr:uid="{12F4173A-1D5F-4BDD-BC72-C83FF05339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K11" authorId="0" shapeId="0" xr:uid="{0CB34F3A-B606-4FDF-A70C-3F31F40EF3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L11" authorId="0" shapeId="0" xr:uid="{3BCCAD09-6E70-4699-B810-5B31814F5D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M11" authorId="0" shapeId="0" xr:uid="{F73A8034-AF19-488B-89ED-310DB07DC8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2" authorId="0" shapeId="0" xr:uid="{DA10695F-2CDE-472E-9388-70B3562DFE1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
</t>
        </r>
      </text>
    </comment>
    <comment ref="Z12" authorId="0" shapeId="0" xr:uid="{6801B13D-DC26-4FA2-995B-F016E78D138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
</t>
        </r>
      </text>
    </comment>
    <comment ref="AE12" authorId="0" shapeId="0" xr:uid="{E6A3859F-1F7D-4CD1-B16B-612D6459DA0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2010</t>
        </r>
      </text>
    </comment>
    <comment ref="AK12" authorId="0" shapeId="0" xr:uid="{1CCDAFB2-3AE5-4797-91BC-B0705515D0F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2016/2017</t>
        </r>
      </text>
    </comment>
    <comment ref="U13" authorId="0" shapeId="0" xr:uid="{9F517801-A057-4378-97B7-804F15FFD07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V13" authorId="0" shapeId="0" xr:uid="{F64A835F-8007-4F3C-BE00-E1186F59BEF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W13" authorId="0" shapeId="0" xr:uid="{FE8F7820-19EC-435A-82AA-012454034E1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X13" authorId="0" shapeId="0" xr:uid="{30F96262-0FC5-4966-B54B-F6677D4F271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Y13" authorId="0" shapeId="0" xr:uid="{109487DC-0D63-468A-A8DD-C723C8DA65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Z13" authorId="0" shapeId="0" xr:uid="{7BE72448-DC19-4834-BFF3-41B420B1E48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A13" authorId="0" shapeId="0" xr:uid="{59161B1B-891B-43A3-8581-D9F5683737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B13" authorId="0" shapeId="0" xr:uid="{9712BE4E-58E8-41E7-9942-FD9DCD29677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C13" authorId="0" shapeId="0" xr:uid="{7BC895DF-76B0-4138-BD90-7304243534D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D13" authorId="0" shapeId="0" xr:uid="{BED89D0F-7107-42B7-8AB8-E2FDC176552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E13" authorId="0" shapeId="0" xr:uid="{74B3EA6F-4441-4094-92F6-8E3FB1256C2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F13" authorId="0" shapeId="0" xr:uid="{78C9E8B4-319E-4B2C-81E6-9F02236D2AB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G13" authorId="0" shapeId="0" xr:uid="{61AFD8A9-CD66-4AF0-BE03-13926FC5181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H13" authorId="0" shapeId="0" xr:uid="{9DB53DAA-6FB3-493C-8CD2-4D1A3DC30E9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I13" authorId="0" shapeId="0" xr:uid="{2DFAA587-97E8-4236-AC79-C51B8F1D817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J13" authorId="0" shapeId="0" xr:uid="{7B72996E-D188-4272-888E-0BD9A81932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K13" authorId="0" shapeId="0" xr:uid="{AD7B313D-3E27-4E6F-8853-8A34123D420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AL13" authorId="0" shapeId="0" xr:uid="{571C943D-0A53-4D5F-BE75-656AAB16CAA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Sample Survey </t>
        </r>
      </text>
    </comment>
    <comment ref="V14" authorId="0" shapeId="0" xr:uid="{49BCF8ED-CBFB-4687-83F9-F11177438F6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Measurement Survey 2001</t>
        </r>
      </text>
    </comment>
    <comment ref="AC14" authorId="0" shapeId="0" xr:uid="{DAAC0F70-0233-452F-8074-81E6B33A22D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Survey 2008-09</t>
        </r>
      </text>
    </comment>
    <comment ref="AD14" authorId="0" shapeId="0" xr:uid="{BACE6E9A-507E-44B9-9E00-F61F02954D2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 2009
</t>
        </r>
      </text>
    </comment>
    <comment ref="X15" authorId="0" shapeId="0" xr:uid="{04C75BC2-0C3A-4F2F-B3EF-ED8CDC36FA9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Questionnaire Unifié sur les Indicateurs de Base du Bien-être 2003</t>
        </r>
      </text>
    </comment>
    <comment ref="AA15" authorId="0" shapeId="0" xr:uid="{D5395F77-21D7-4913-9133-BDBBB5E4B8E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Modular Integrated Survey on Household Living Conditions 2006
</t>
        </r>
      </text>
    </comment>
    <comment ref="AE15" authorId="0" shapeId="0" xr:uid="{46366290-669B-49AA-AAB1-FA1C26179E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Survey on Household Living Conditions
https://insae.bj/statistiques/enquetes-et-recensements#enquete-modulaire-integree-sur-les-conditions-de-vie-des-menages</t>
        </r>
      </text>
    </comment>
    <comment ref="AF15" authorId="0" shapeId="0" xr:uid="{BEF76BE6-AFFB-448E-957F-FD58EBCDB32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Modulaire Intégrée sur les Conditions de Vie des Ménages 2011-2012</t>
        </r>
      </text>
    </comment>
    <comment ref="AH15" authorId="0" shapeId="0" xr:uid="{67FA3EA4-8418-494C-ACE7-77A339C4493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Survey on Household Living Conditions
https://insae.bj/statistiques/enquetes-et-recensements#enquete-modulaire-integree-sur-les-conditions-de-vie-des-menages</t>
        </r>
      </text>
    </comment>
    <comment ref="AJ15" authorId="0" shapeId="0" xr:uid="{57CCB22E-E694-4B84-A091-D97DAF43221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Modulaire Intégrée sur les Conditions de Vie des Ménages 2015</t>
        </r>
      </text>
    </comment>
    <comment ref="AM15" authorId="0" shapeId="0" xr:uid="{FB5227BB-ED7E-4458-83D7-B89C7259A75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 2018</t>
        </r>
      </text>
    </comment>
    <comment ref="X16" authorId="0" shapeId="0" xr:uid="{2B7A0746-0644-478B-9825-D35AD55DD1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2003</t>
        </r>
      </text>
    </comment>
    <comment ref="AB16" authorId="0" shapeId="0" xr:uid="{AE577A42-9D87-4E15-A2BC-3D2F99A632B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2007, second round</t>
        </r>
      </text>
    </comment>
    <comment ref="AG16" authorId="0" shapeId="0" xr:uid="{9E8AD20A-5255-474E-8EF4-A4CAB8D81C1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2012, Third Round</t>
        </r>
      </text>
    </comment>
    <comment ref="AL16" authorId="0" shapeId="0" xr:uid="{695A904D-C372-414B-B0A8-AB49020F12E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2017</t>
        </r>
      </text>
    </comment>
    <comment ref="T17" authorId="0" shapeId="0" xr:uid="{757A933C-1302-4BAF-BC41-C7C0BFD3338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Continuous Household Survey 1999
</t>
        </r>
      </text>
    </comment>
    <comment ref="U17" authorId="0" shapeId="0" xr:uid="{3EA10A41-ACE4-4A1D-8648-672F3BA6C70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V17" authorId="0" shapeId="0" xr:uid="{4030A1AF-D3FF-437F-B178-602506B691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W17" authorId="0" shapeId="0" xr:uid="{8EE0F9AC-469A-40E8-AD0E-6F919A10A41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X17" authorId="0" shapeId="0" xr:uid="{7CC1BF18-4AD8-4B91-A0C8-64842448C7B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Continuous Household Survey 
</t>
        </r>
      </text>
    </comment>
    <comment ref="Y17" authorId="0" shapeId="0" xr:uid="{9111B725-EF22-4A00-A91F-6A9D6595F9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Z17" authorId="0" shapeId="0" xr:uid="{AB0E9C86-6A05-479B-B15B-BEA7E7356DB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A17" authorId="0" shapeId="0" xr:uid="{F92C21BB-3F6B-41F3-914B-682B586C962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B17" authorId="0" shapeId="0" xr:uid="{4D941319-4171-45AB-85BE-4006E8C9EA8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C17" authorId="0" shapeId="0" xr:uid="{36E41775-E9C5-44AB-A256-8EDBB55B575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D17" authorId="0" shapeId="0" xr:uid="{FF4A735B-98AA-4047-8391-4C55CA752D1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F17" authorId="0" shapeId="0" xr:uid="{237D206E-9266-42FA-9914-18E9A03457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G17" authorId="0" shapeId="0" xr:uid="{9A18F06C-91D9-42E0-8D85-25D0909CF0D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H17" authorId="0" shapeId="0" xr:uid="{EBE91FD3-9EE3-430E-9BB1-5CD96AE45AB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I17" authorId="0" shapeId="0" xr:uid="{13CB1D8C-6067-4C35-84F5-BD6C170C139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J17" authorId="0" shapeId="0" xr:uid="{EA0B476B-BB8E-4D7D-A838-C189C706097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K17" authorId="0" shapeId="0" xr:uid="{FFA68B7B-2F28-40A3-9B5C-A3D027F2756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L17" authorId="0" shapeId="0" xr:uid="{CE2BF03C-FEE0-4188-9366-899F60AB04F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M17" authorId="0" shapeId="0" xr:uid="{A818DB3C-BF01-4B49-9BBC-0C80A86A415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2018</t>
        </r>
      </text>
    </comment>
    <comment ref="AN17" authorId="1" shapeId="0" xr:uid="{59C7ACC3-D883-4E09-A66B-68B5546EE8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http://anda.ine.gob.bo/index.php/catalog/84</t>
        </r>
      </text>
    </comment>
    <comment ref="V18" authorId="0" shapeId="0" xr:uid="{4C841BD8-2DA6-4096-A7E4-0DA6CB59CB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 2001 (wave 1 Panel)</t>
        </r>
      </text>
    </comment>
    <comment ref="W18" authorId="0" shapeId="0" xr:uid="{270521E7-7B5C-4AF7-AC7B-C7BB13EF7E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</t>
        </r>
      </text>
    </comment>
    <comment ref="X18" authorId="0" shapeId="0" xr:uid="{C4F730BC-3B4C-4332-841A-84E5D5D9370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</t>
        </r>
      </text>
    </comment>
    <comment ref="Y18" authorId="0" shapeId="0" xr:uid="{FDF7A956-32B3-49CD-B982-7B9F870B3C8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LSMS 2004 (Wave 4 panel)</t>
        </r>
      </text>
    </comment>
    <comment ref="AB18" authorId="0" shapeId="0" xr:uid="{A75F66C6-71D4-405F-BE0B-A34AFC5C5A8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F18" authorId="0" shapeId="0" xr:uid="{FC80879B-B49F-4A41-9DF8-80965079A27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in Bosnia and Herzegovina, 2011</t>
        </r>
      </text>
    </comment>
    <comment ref="AJ18" authorId="0" shapeId="0" xr:uid="{CA229665-2572-4B37-AD26-CB5508C122F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in Bosnia and Herzegovina, 2015</t>
        </r>
      </text>
    </comment>
    <comment ref="W19" authorId="0" shapeId="0" xr:uid="{D5805720-75B3-4A46-9D22-E4FA660A61C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2002-2003</t>
        </r>
      </text>
    </comment>
    <comment ref="AD19" authorId="0" shapeId="0" xr:uid="{D7EB0973-2F13-48FF-8D03-80F45BBB4CF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Core Welfare Indicators Survey 2009-2010</t>
        </r>
      </text>
    </comment>
    <comment ref="AJ19" authorId="0" shapeId="0" xr:uid="{DE731776-9553-4534-A187-838115C983A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2016/16 Botswana Multi-Topic Survey</t>
        </r>
      </text>
    </comment>
    <comment ref="V20" authorId="0" shapeId="0" xr:uid="{10C84197-DCA3-406D-B5C9-8AF58A643D4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W20" authorId="0" shapeId="0" xr:uid="{12296ECE-6173-4161-968D-A4B17F1C99D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X20" authorId="0" shapeId="0" xr:uid="{81A7C3F2-FBBC-4A61-81DC-D96D9046932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Y20" authorId="0" shapeId="0" xr:uid="{BDABEFE0-FE90-4DFE-9FA4-FCE6E231F49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Z20" authorId="0" shapeId="0" xr:uid="{3AD7BFF2-B17C-4811-83F9-018517EBEB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A20" authorId="0" shapeId="0" xr:uid="{4221920D-0171-4148-A35F-734BDF2A0C5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B20" authorId="0" shapeId="0" xr:uid="{8B648849-7106-4976-AD26-DDCA2AEDB66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C20" authorId="0" shapeId="0" xr:uid="{C209DCBA-66C5-4859-898E-76D97BF46E6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D20" authorId="0" shapeId="0" xr:uid="{D227D177-4594-4CD0-81C1-9DA9C36EA70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E20" authorId="0" shapeId="0" xr:uid="{B117650D-344B-4743-B39B-14BEBC2E8F2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XII Recenseamento Geral do Brasil. Censo Demográfico 2010 - IPUMS Subset
</t>
        </r>
      </text>
    </comment>
    <comment ref="AF20" authorId="0" shapeId="0" xr:uid="{BD88E086-20D1-4636-A507-723D29D408A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G20" authorId="0" shapeId="0" xr:uid="{1873847A-3162-4072-AAC2-90679E8C1B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H20" authorId="0" shapeId="0" xr:uid="{0FDB8F32-B8D6-4DEF-955E-68112267F02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I20" authorId="0" shapeId="0" xr:uid="{7D54B5AD-5B82-474C-802F-DC25866C66F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J20" authorId="0" shapeId="0" xr:uid="{26805D9C-9EDB-4F31-AD6E-9F6CF2ACC3D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K20" authorId="0" shapeId="0" xr:uid="{3FB816A4-440D-4B49-A39B-0F02549C533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L20" authorId="0" shapeId="0" xr:uid="{7D374D9A-D6DD-4BCC-B394-27F37042649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Pesquisa Nacional por Amostra de Domicílios Contínua </t>
        </r>
      </text>
    </comment>
    <comment ref="AM20" authorId="1" shapeId="0" xr:uid="{1DCDDD7F-1A56-4E7A-87DE-9F1567F872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https://www.ibge.gov.br/en/statistics/social/income-expenditure-and-consumption/16833-monthly-dissemination-pnadc1.html?edicao=20780&amp;t=microdados</t>
        </r>
      </text>
    </comment>
    <comment ref="V21" authorId="0" shapeId="0" xr:uid="{A73C841B-9588-405E-A4EE-874CE0D560E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2001</t>
        </r>
      </text>
    </comment>
    <comment ref="X21" authorId="0" shapeId="0" xr:uid="{D5D9E52A-56C5-4E27-9DB9-135F2D80533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Multitopic Household Survey 2003</t>
        </r>
      </text>
    </comment>
    <comment ref="AB21" authorId="0" shapeId="0" xr:uid="{E4BBDD95-CADA-45D6-A889-7D657FED873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 2007</t>
        </r>
      </text>
    </comment>
    <comment ref="AC21" authorId="0" shapeId="0" xr:uid="{A860E8FE-0258-4CF1-90B9-2DA8E648947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 2008</t>
        </r>
      </text>
    </comment>
    <comment ref="AD21" authorId="0" shapeId="0" xr:uid="{E72DB6C4-9727-4834-8440-FAB388F6EE2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E21" authorId="0" shapeId="0" xr:uid="{E65ECD08-3EA0-46C1-9902-460EE005071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F21" authorId="0" shapeId="0" xr:uid="{A7925DCD-1189-4214-BAFA-EFAC0D9820D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G21" authorId="0" shapeId="0" xr:uid="{AFDF07DB-ABE0-4754-A5C7-8C2240BFF4F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H21" authorId="0" shapeId="0" xr:uid="{5047D3C5-D339-496B-84B6-0296FB49D4D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I21" authorId="0" shapeId="0" xr:uid="{4B65E6F8-F6F2-409E-9596-334193863D3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J21" authorId="0" shapeId="0" xr:uid="{D9936AB6-8CB2-4DBA-B0CB-307279AF04C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K21" authorId="0" shapeId="0" xr:uid="{C98ABC36-45FC-440E-AA91-8418512062A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</t>
        </r>
      </text>
    </comment>
    <comment ref="AL21" authorId="0" shapeId="0" xr:uid="{096C583D-A990-47E5-8ADE-7E76D79252A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Bulgaria, European Union  Statistics on Income and Living Conditions 2017</t>
        </r>
      </text>
    </comment>
    <comment ref="AM21" authorId="1" shapeId="0" xr:uid="{8CEAB26D-F26A-4393-9DB6-7C835E3D4A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https://ec.europa.eu/eurostat/documents/203647/203704/EU-SILC+implementation+by+country.pdf</t>
        </r>
      </text>
    </comment>
    <comment ref="X22" authorId="0" shapeId="0" xr:uid="{B6132F1E-23F0-41BC-BFBF-F749BF061B8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les Conditions de Vie des Ménages 2003, Questionnaire Unifié sur les Indicateurs de Base du Bien-être</t>
        </r>
      </text>
    </comment>
    <comment ref="Z22" authorId="0" shapeId="0" xr:uid="{247477E6-8F21-4368-B47B-312BEB19BE5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 2005, Unified Questionnaire on Basic Indicators of Well-being
</t>
        </r>
      </text>
    </comment>
    <comment ref="AB22" authorId="0" shapeId="0" xr:uid="{50755904-88A6-43EC-A025-C252F688439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 2007, Unified Questionnaire on Basic Indicators of Well-being</t>
        </r>
      </text>
    </comment>
    <comment ref="AD22" authorId="0" shapeId="0" xr:uid="{AFC3E653-2D37-4A73-9B36-D65B1955030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les Conditions de Vie des Ménages 2009-2010, Volet Questionnaire Unifié sur les Indicateurs de Base du Bien-être</t>
        </r>
      </text>
    </comment>
    <comment ref="AI22" authorId="0" shapeId="0" xr:uid="{0609872A-004A-4415-9040-764D2C915F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Multisectorielle Continue 2013-2014</t>
        </r>
      </text>
    </comment>
    <comment ref="AM22" authorId="0" shapeId="0" xr:uid="{D0A0AA53-DD9C-4793-BE5D-A360AFE4A5D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 2018</t>
        </r>
      </text>
    </comment>
    <comment ref="AA23" authorId="0" shapeId="0" xr:uid="{5D9B9741-97A3-4610-8C20-FDC47C246B0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Questionnaire Unifié sur les Indicateurs de Base du Bien-être 2006</t>
        </r>
      </text>
    </comment>
    <comment ref="AH23" authorId="0" shapeId="0" xr:uid="{99B691F3-72E8-4C63-9329-00E9376BA9E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les Conditions de Vie des Ménages</t>
        </r>
      </text>
    </comment>
    <comment ref="AL23" authorId="0" shapeId="0" xr:uid="{40EBEAD8-1094-4608-8569-C69F08165F9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Enquete Rapide sur les Conditions de Vie des Menages Burundais</t>
        </r>
      </text>
    </comment>
    <comment ref="V24" authorId="0" shapeId="0" xr:uid="{1E5D1204-6EF9-414E-B4AD-C8835239C9C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Inquerito às Despesas e Receitas Familiares 2001</t>
        </r>
      </text>
    </comment>
    <comment ref="AB24" authorId="0" shapeId="0" xr:uid="{78FDD720-6B4F-4734-A509-726FE6A8E83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Questionário Unificado de Indicadores Básicos de Bem-Estar 2007</t>
        </r>
      </text>
    </comment>
    <comment ref="AJ24" authorId="0" shapeId="0" xr:uid="{87BE2D4D-E893-4F33-8EC3-C9CD5F2A4E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Inquerito das Depensas e Receitas Familiares 2015</t>
        </r>
      </text>
    </comment>
    <comment ref="X25" authorId="0" shapeId="0" xr:uid="{0FABA0E9-65B4-4FE1-A667-ACBA30F123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Z25" authorId="0" shapeId="0" xr:uid="{A8CF1163-E982-4BBE-B6A2-605414EFE1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B25" authorId="0" shapeId="0" xr:uid="{2BF5A6A3-5EFE-42FC-9DA4-B4B502CD061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C25" authorId="0" shapeId="0" xr:uid="{1C30EBDF-5DDC-454E-87FA-0A16AF7A0B4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D25" authorId="0" shapeId="0" xr:uid="{5EEFC9E2-D28B-4C76-9B27-29C90B71588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E25" authorId="0" shapeId="0" xr:uid="{9EDBFB49-04B6-466E-871E-EFF7154D09A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F25" authorId="0" shapeId="0" xr:uid="{47AB45BA-678F-4DD4-B59D-C99D760601F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G25" authorId="0" shapeId="0" xr:uid="{70590E35-AAF3-4191-A83C-C34BF292855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H25" authorId="0" shapeId="0" xr:uid="{7E66BE94-A05C-4A82-8ECD-13259BF0A03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I25" authorId="0" shapeId="0" xr:uid="{DD462492-7DB6-4DD4-8879-5FD71F5B664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J25" authorId="0" shapeId="0" xr:uid="{37B92547-3249-4520-A181-FE755B739D8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K25" authorId="0" shapeId="0" xr:uid="{D8BBB47E-A306-4F66-BF1C-EFA5BC923AD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L25" authorId="0" shapeId="0" xr:uid="{AF65C27E-5DA1-4A86-9383-3FBC27067A7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</t>
        </r>
      </text>
    </comment>
    <comment ref="AN25" authorId="0" shapeId="0" xr:uid="{9AD2E117-4C6D-452C-B399-4902B082369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Cambodia Socio-Economic Survey 2019</t>
        </r>
      </text>
    </comment>
    <comment ref="V26" authorId="0" shapeId="0" xr:uid="{06783C26-3541-443F-9DCB-8C70E8BDA45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Deuxième Enquête Camerounaise Auprès des Ménages 2001-2002</t>
        </r>
      </text>
    </comment>
    <comment ref="AB26" authorId="0" shapeId="0" xr:uid="{176FD1BC-6833-48A7-959D-165E229D8D0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Troisième Enquête Camerounaise Auprès des Ménages 2007</t>
        </r>
      </text>
    </comment>
    <comment ref="AI26" authorId="0" shapeId="0" xr:uid="{875FA963-77C7-4600-B45D-4D9BC06AF60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Quatrième Enquête Camerounaise Auprès des Ménages 2014</t>
        </r>
      </text>
    </comment>
    <comment ref="AC27" authorId="0" shapeId="0" xr:uid="{E5C5A625-FE61-4761-A7B9-2E41446F89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Centrafricaine pour le Suivi-Evaluation du Bien-être 2008</t>
        </r>
      </text>
    </comment>
    <comment ref="X28" authorId="0" shapeId="0" xr:uid="{EE5EC125-C994-40AA-8C51-B245CE29A9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la Consommation des Ménages et le Secteur Informel au Tchad</t>
        </r>
      </text>
    </comment>
    <comment ref="AF28" authorId="0" shapeId="0" xr:uid="{74F81989-7A63-4032-A5D2-6D0F535912F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la Consommation des Ménages et le Secteur Informel au Tchad</t>
        </r>
      </text>
    </comment>
    <comment ref="AM28" authorId="0" shapeId="0" xr:uid="{30495140-80B3-4DE0-8063-D90DEE2D80E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la Consommation des Ménages et le Secteur Informel au Tchad</t>
        </r>
      </text>
    </comment>
    <comment ref="U29" authorId="0" shapeId="0" xr:uid="{A0B712EF-9293-4EA4-98E5-D1C3F885165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X29" authorId="0" shapeId="0" xr:uid="{E14FC599-3A16-44C8-A29D-67115EC9BAF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AA29" authorId="0" shapeId="0" xr:uid="{F4ABA6EE-F1E6-4488-9A96-8C01D584518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AD29" authorId="0" shapeId="0" xr:uid="{D8091ADE-FDFF-4400-9F2B-B7F2FF977B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AF29" authorId="0" shapeId="0" xr:uid="{C7C92A3F-D1E4-40B2-9E07-54D312E35D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AH29" authorId="0" shapeId="0" xr:uid="{F9777BF8-919C-4227-AD82-59F73E5381B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AJ29" authorId="0" shapeId="0" xr:uid="{54915751-4101-4AAA-89F4-2D0E021523D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AK29" authorId="0" shapeId="0" xr:uid="{E462F5D6-46D2-4735-B9E7-514502835C1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Family Budgets 2016-17</t>
        </r>
      </text>
    </comment>
    <comment ref="AL29" authorId="0" shapeId="0" xr:uid="{A7A4F237-BAD6-4D61-AD1F-BF35C764474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Caracterización Socioeconómica Nacional</t>
        </r>
      </text>
    </comment>
    <comment ref="W30" authorId="0" shapeId="0" xr:uid="{5CDD39C8-CA2C-4CA9-96E6-97C3EF11C5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survey</t>
        </r>
      </text>
    </comment>
    <comment ref="Z30" authorId="0" shapeId="0" xr:uid="{4063A21D-F499-431A-9918-F96EFDE5CC5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</t>
        </r>
      </text>
    </comment>
    <comment ref="AB30" authorId="0" shapeId="0" xr:uid="{171A4F41-B1E9-427D-8F8F-52856D4CDB8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China Household Income Project 2007</t>
        </r>
      </text>
    </comment>
    <comment ref="AC30" authorId="0" shapeId="0" xr:uid="{89E7BB56-0B7F-49D3-9117-78718595C83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</t>
        </r>
      </text>
    </comment>
    <comment ref="AE30" authorId="0" shapeId="0" xr:uid="{ECB43878-267B-4E8E-9015-782B8005940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F30" authorId="0" shapeId="0" xr:uid="{6680194A-04D5-4B20-B036-943249D5C20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G30" authorId="0" shapeId="0" xr:uid="{312972B8-39FC-4A8C-BCEE-C9765E5B69A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H30" authorId="0" shapeId="0" xr:uid="{67660A27-D380-496D-8E9D-C79027244D7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I30" authorId="0" shapeId="0" xr:uid="{63816202-A196-4017-B665-32F818E4F4E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J30" authorId="0" shapeId="0" xr:uid="{42C79A38-0724-46AD-9EDC-AEB1E97B419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V31" authorId="0" shapeId="0" xr:uid="{9866F76B-7555-47A5-8148-B2832CDE130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W31" authorId="0" shapeId="0" xr:uid="{C611FBC7-5662-4A8B-B02B-E33F1723196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X31" authorId="0" shapeId="0" xr:uid="{2B315B3E-DBF7-4F2F-9B6C-07BB5052E9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Y31" authorId="0" shapeId="0" xr:uid="{DF086BBE-F96C-4413-A083-E4B45D73FEE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Z31" authorId="0" shapeId="0" xr:uid="{E655E9CC-58DD-42E5-B65E-7D648817213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A31" authorId="1" shapeId="0" xr:uid="{E95EFAAB-554F-4761-B723-5A9ED9D14E2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Gran Encuesta Integrada de Hogares 2006 - SEDLAC - Base de Datos Armonizada</t>
        </r>
      </text>
    </comment>
    <comment ref="AB31" authorId="1" shapeId="0" xr:uid="{7D4E1E13-F5F3-4282-A51D-C21422A497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Gran Encuesta Integrada de Hogares 2007 - SEDLAC - Base de Datos Armonizada</t>
        </r>
      </text>
    </comment>
    <comment ref="AC31" authorId="0" shapeId="0" xr:uid="{4D86A3AB-1758-4E41-8817-06289AF774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D31" authorId="0" shapeId="0" xr:uid="{791FA681-D384-4875-AF6C-B0C516DDE1E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E31" authorId="0" shapeId="0" xr:uid="{C49C0896-0D8A-4480-A9FC-617B7FFD3B8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1" authorId="0" shapeId="0" xr:uid="{C3A9C985-2E83-4BCB-8D00-E9FFEA309AA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G31" authorId="0" shapeId="0" xr:uid="{4C15AA8D-3D29-4687-B0EA-CD84A03234E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H31" authorId="0" shapeId="0" xr:uid="{405EC96A-5A56-4FCF-8193-A8C30C5278D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I31" authorId="0" shapeId="0" xr:uid="{07767B1A-1076-496B-8FC5-67B221FBDF3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J31" authorId="0" shapeId="0" xr:uid="{DDD8FE19-24FD-4C46-824C-3AD03AAA583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K31" authorId="0" shapeId="0" xr:uid="{B398276D-80FD-4F57-BF56-6E2CF3F978E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L31" authorId="0" shapeId="0" xr:uid="{064D654D-E8ED-4684-ABD3-DE5C9EEF9CE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Gran Encuesta Integrada de Hogares</t>
        </r>
      </text>
    </comment>
    <comment ref="AM31" authorId="1" shapeId="0" xr:uid="{5F439C14-21C2-4D98-8948-62EB597C5EE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Gran Encuesta Integrada de Hogares 2018</t>
        </r>
      </text>
    </comment>
    <comment ref="Y32" authorId="0" shapeId="0" xr:uid="{0469D6B9-A16A-40DB-9043-C29C90B143A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Intégrale auprès des Ménages 2004</t>
        </r>
      </text>
    </comment>
    <comment ref="AH32" authorId="0" shapeId="0" xr:uid="{25FECF19-805C-4585-9AB2-37224D265F9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Intégrale auprès des Ménages 2013</t>
        </r>
      </text>
    </comment>
    <comment ref="AI32" authorId="0" shapeId="0" xr:uid="{1D94E7B4-CE68-4471-9E24-27C5F05333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on employment the informal sector and household consumption in the comoros</t>
        </r>
      </text>
    </comment>
    <comment ref="AN32" authorId="0" shapeId="0" xr:uid="{C1CAEF47-858B-4955-A71B-23C817A050F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ENQUETE HARMONISÉE SUR LES CONDITIONS DE VIE DES MENAGES</t>
        </r>
      </text>
    </comment>
    <comment ref="Y33" authorId="0" shapeId="0" xr:uid="{E5A85620-8F53-4F25-84A6-2FA7009F8D1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1-2-3 sur l'Emploi, le Secteur Informel et les Conditions de Vie des Ménages 2004</t>
        </r>
      </text>
    </comment>
    <comment ref="AG33" authorId="0" shapeId="0" xr:uid="{13C64770-18F3-4F62-BB1D-1DF99F98BA1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du Type 1-2-3 auprès des Ménages</t>
        </r>
      </text>
    </comment>
    <comment ref="Z34" authorId="0" shapeId="0" xr:uid="{A5287D1E-9B98-4D68-804C-BC2042860E9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Congolaise auprès des Ménages pour lEvaluation de la Pauvreté 2005</t>
        </r>
      </text>
    </comment>
    <comment ref="AF34" authorId="0" shapeId="0" xr:uid="{57170DF7-D3C3-4BF8-91F4-2BDDAFFFB9F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Congolaise Auprès des Ménages pour le Suivi et l'Evaluation de la Pauvreté 2011</t>
        </r>
      </text>
    </comment>
    <comment ref="U35" authorId="0" shapeId="0" xr:uid="{606D5C8F-1D0E-465E-AD01-C3AC49ED75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V35" authorId="0" shapeId="0" xr:uid="{98B81989-4D23-467C-BF7B-792C6C76F90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W35" authorId="0" shapeId="0" xr:uid="{F66BECA5-37C8-457E-915A-487A50C21DD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X35" authorId="0" shapeId="0" xr:uid="{9F393A6E-8E41-455A-89A1-773A13882D1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Y35" authorId="0" shapeId="0" xr:uid="{59B8A939-D343-408A-8C2F-6F56EDD828E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Z35" authorId="0" shapeId="0" xr:uid="{CE73558D-B71D-4EE6-9793-A9B6A6B0C73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AA35" authorId="0" shapeId="0" xr:uid="{9B775A65-55B3-4FB4-BDC4-7A227DA53E3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AB35" authorId="0" shapeId="0" xr:uid="{D12C4BEE-E833-4432-945A-70E6DA3DB48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AC35" authorId="0" shapeId="0" xr:uid="{E191118A-D15A-40B2-89CF-ED65A901DF4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 </t>
        </r>
      </text>
    </comment>
    <comment ref="AD35" authorId="0" shapeId="0" xr:uid="{D7FE877D-E6ED-409B-A41B-00F741BE43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E35" authorId="0" shapeId="0" xr:uid="{A2CDB515-AE80-48EF-8FEA-C73062D356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F35" authorId="0" shapeId="0" xr:uid="{B1BE48F3-3326-4E1E-B43F-F8E26A9ED0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G35" authorId="0" shapeId="0" xr:uid="{039D4051-2ACE-40FE-A18E-4CCEF1017F5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H35" authorId="0" shapeId="0" xr:uid="{45E37E43-B357-4CD3-AEF4-363625D58EC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I35" authorId="0" shapeId="0" xr:uid="{ABE474F1-3562-4AB7-B2D9-7896BE982E0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J35" authorId="0" shapeId="0" xr:uid="{BD962FF7-77B7-49DF-BF12-B30D803BC7D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K35" authorId="0" shapeId="0" xr:uid="{D72DFFC5-E7BA-4764-8D8A-DB6BC964B4D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L35" authorId="0" shapeId="0" xr:uid="{E694083C-9090-4997-A6C7-0DCC74AAB8B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M35" authorId="1" shapeId="0" xr:uid="{51A28AF2-B287-4A38-838F-D7A2B573111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Nacional de Hogares 2018</t>
        </r>
      </text>
    </comment>
    <comment ref="W36" authorId="0" shapeId="0" xr:uid="{A96A82AC-C1DF-4FBD-BE42-D35D1F43C2C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standards survey</t>
        </r>
      </text>
    </comment>
    <comment ref="AC36" authorId="0" shapeId="0" xr:uid="{8166CAC3-5149-4E2F-AA85-19AF5444524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Standards survey</t>
        </r>
      </text>
    </comment>
    <comment ref="AJ36" authorId="0" shapeId="0" xr:uid="{3C33B04E-8387-4226-B5B1-E59A41CD3B3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 Niveau de Vie des Ménages 2015</t>
        </r>
      </text>
    </comment>
    <comment ref="AM36" authorId="0" shapeId="0" xr:uid="{6A98AC90-4792-4E9D-BCC2-A84315CC50E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 2018</t>
        </r>
      </text>
    </comment>
    <comment ref="Y37" authorId="0" shapeId="0" xr:uid="{22944421-AE23-43CF-B644-66C9BE3BC3A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37" authorId="0" shapeId="0" xr:uid="{3C30F6C7-3DE0-4BE8-B69A-E09C0CBA45A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37" authorId="0" shapeId="0" xr:uid="{E2940025-D74F-4D4D-94E1-1144223ED03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2009</t>
        </r>
      </text>
    </comment>
    <comment ref="AE37" authorId="0" shapeId="0" xr:uid="{0FB4978D-A09C-44A7-8A62-B167B172756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2010/EU statistics on income and living conditions - 2010</t>
        </r>
      </text>
    </comment>
    <comment ref="AF37" authorId="0" shapeId="0" xr:uid="{A7AA07FE-DD2A-4365-A1C8-AC0D50F493B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 2011/Croatia - Household Budget Survey</t>
        </r>
      </text>
    </comment>
    <comment ref="AG37" authorId="0" shapeId="0" xr:uid="{93FB18AA-AC55-47C5-8049-CDE4C0F6698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 2012</t>
        </r>
      </text>
    </comment>
    <comment ref="AH37" authorId="0" shapeId="0" xr:uid="{1E4CD1B5-A8A1-49D7-8875-09A5E48D6E4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 Statistics on Income and Living Conditions 2013</t>
        </r>
      </text>
    </comment>
    <comment ref="AI37" authorId="0" shapeId="0" xr:uid="{4BF34025-20CF-41F7-9858-F7F61417CE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Statistics on Income and Living Conditions 2014/Household Budget Survey 2014</t>
        </r>
      </text>
    </comment>
    <comment ref="AJ37" authorId="0" shapeId="0" xr:uid="{8E42D4B4-AB59-47E0-8257-1263C7A1D70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Statistics on Income and Living Conditions 2015</t>
        </r>
      </text>
    </comment>
    <comment ref="AK37" authorId="0" shapeId="0" xr:uid="{C6DBC570-A9BF-4899-9F79-CD29BCB45B3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European Union Statistics on Income and Living Conditions 2016</t>
        </r>
      </text>
    </comment>
    <comment ref="AL37" authorId="0" shapeId="0" xr:uid="{5C97308E-8F19-4DA5-888D-941A7B00F96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Survey, 2017</t>
        </r>
      </text>
    </comment>
    <comment ref="W38" authorId="0" shapeId="0" xr:uid="{8B01B27D-9CF1-46BC-8F0A-BD307C48473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survey </t>
        </r>
      </text>
    </comment>
    <comment ref="AG38" authorId="0" shapeId="0" xr:uid="{55DC12BE-04A3-437B-9BA3-0A7246A15D5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Djiboutienne auprès des Ménages III 2012</t>
        </r>
      </text>
    </comment>
    <comment ref="AH38" authorId="0" shapeId="0" xr:uid="{E92B1ECC-C407-4C03-B026-29F97E94F0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Djiboutienne Auprès des ménages - Budget Consommation 2013</t>
        </r>
      </text>
    </comment>
    <comment ref="AL38" authorId="0" shapeId="0" xr:uid="{9D76E6BB-40AA-444C-938D-2440A18E89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Djiboutian Household Survey for Social Indicators 2017 - Data for public use
Surveyscore card- Enquête Djiboutienne auprès des Ménages IV 2017</t>
        </r>
      </text>
    </comment>
    <comment ref="W39" authorId="0" shapeId="0" xr:uid="{E6A4E555-79D1-4EB6-ABB9-A0303AC1D3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</t>
        </r>
      </text>
    </comment>
    <comment ref="AB39" authorId="0" shapeId="0" xr:uid="{70E9F2A0-77B7-475B-8E54-C30A57ACA8C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expenditure and income</t>
        </r>
      </text>
    </comment>
    <comment ref="U40" authorId="0" shapeId="0" xr:uid="{8071C37E-3D73-478D-B830-B1DDD73A4AB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V40" authorId="0" shapeId="0" xr:uid="{6F0CE12A-6F13-4BF6-B64C-DDDDA0DA74E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W40" authorId="0" shapeId="0" xr:uid="{9C5F93F8-6CA0-488C-AB5D-297B0E4BEDD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X40" authorId="0" shapeId="0" xr:uid="{0885815F-CF6E-46D7-A475-6D5434141F9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Y40" authorId="0" shapeId="0" xr:uid="{B98D1765-A3E0-48DE-AD8B-057168EEFDB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Z40" authorId="0" shapeId="0" xr:uid="{E891786B-7C57-4016-BDE6-FFE9A6B8E23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A40" authorId="0" shapeId="0" xr:uid="{731D1288-4DE8-463C-9977-79F7A376703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B40" authorId="0" shapeId="0" xr:uid="{A06492F3-8743-4AE2-A91E-1A5A254020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C40" authorId="0" shapeId="0" xr:uid="{19D20188-B260-49D4-9111-6024052615F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D40" authorId="0" shapeId="0" xr:uid="{A1AF73D3-B450-407C-A9C8-E906967B8B2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E40" authorId="0" shapeId="0" xr:uid="{FCE7D298-0B94-47ED-9207-55F9FD6C321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F40" authorId="0" shapeId="0" xr:uid="{00A95C1A-1CBA-452D-8E8D-67638DC7C9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G40" authorId="0" shapeId="0" xr:uid="{762339BC-79B5-4E07-A060-40964580AC3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H40" authorId="0" shapeId="0" xr:uid="{0A0EE76D-CE95-4F52-9F97-02BBDA3026B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I40" authorId="0" shapeId="0" xr:uid="{8C521642-5435-4A98-9A4F-16812B47D09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J40" authorId="0" shapeId="0" xr:uid="{4EF499F5-F355-4949-8606-0B25F8E00E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 </t>
        </r>
      </text>
    </comment>
    <comment ref="AK40" authorId="0" shapeId="0" xr:uid="{4E9DDF2C-0D6A-4E83-87A0-9829D719503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</t>
        </r>
      </text>
    </comment>
    <comment ref="AL40" authorId="0" shapeId="0" xr:uid="{72929DCD-8C2A-4827-9471-D5ED26BBA90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Fuerza de Trabajo</t>
        </r>
      </text>
    </comment>
    <comment ref="AM40" authorId="1" shapeId="0" xr:uid="{22007C8D-24DE-4BF5-A98D-A4F6C5A6D3D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Nacional Continua de Fuerza de Trabajo 2018</t>
        </r>
      </text>
    </comment>
    <comment ref="U41" authorId="0" shapeId="0" xr:uid="{A9DA5726-013C-4E1D-BF74-F6E41BC24C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Periodica de Empleo, Desempleo y Subempleo en el Area Urbano y Rural</t>
        </r>
      </text>
    </comment>
    <comment ref="X41" authorId="0" shapeId="0" xr:uid="{D51DD3D5-AA61-41B2-B41D-FF9ACC65EA2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Y41" authorId="0" shapeId="0" xr:uid="{5EBC397E-0148-48AF-A667-35C46421613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Z41" authorId="0" shapeId="0" xr:uid="{57984354-DE74-4F43-806A-E1FEA5C792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A41" authorId="0" shapeId="0" xr:uid="{F828A258-B58B-4ED7-AA6A-D0803381F40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B41" authorId="0" shapeId="0" xr:uid="{A80C5752-C09C-45AF-BCC5-1739C872EB6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C41" authorId="0" shapeId="0" xr:uid="{F6AB7F7E-BAAC-491D-89DC-398420241AD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D41" authorId="0" shapeId="0" xr:uid="{2EBB66CE-551C-4134-AB19-1ABA767EA76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E41" authorId="0" shapeId="0" xr:uid="{E42127DE-00A9-4508-81BD-F24F76B82A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F41" authorId="0" shapeId="0" xr:uid="{E27CB39C-7AF0-4B89-AA5C-1FACAC1FEA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G41" authorId="0" shapeId="0" xr:uid="{55238E29-CEA9-46AB-9BAD-99668DC3C82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H41" authorId="0" shapeId="0" xr:uid="{8B518E74-EBEF-4695-987B-0961D07003D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I41" authorId="0" shapeId="0" xr:uid="{DFEFE774-F32C-4114-A312-0B80E16E22F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J41" authorId="0" shapeId="0" xr:uid="{8E700E27-F13D-4201-8CFE-A0C80AD8A30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K41" authorId="0" shapeId="0" xr:uid="{999B7C1F-3E5D-4735-87E9-ACD1484C38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AL41" authorId="0" shapeId="0" xr:uid="{0F741DF1-330A-4A00-B500-2570BBEE33C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Empleo, Desempleo y Subempleo</t>
        </r>
      </text>
    </comment>
    <comment ref="Y42" authorId="0" shapeId="0" xr:uid="{E0E23688-A94B-42C1-95E6-618583B0B4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expenditure and consumption survey </t>
        </r>
      </text>
    </comment>
    <comment ref="AC42" authorId="0" shapeId="0" xr:uid="{8C2EA75E-16F4-432F-B422-D93B4D846C2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expenditure and consumption survey </t>
        </r>
      </text>
    </comment>
    <comment ref="AE42" authorId="0" shapeId="0" xr:uid="{1C639C0C-D772-4FE2-8704-9A6B1B8403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Expenditure, and Consumption Survey</t>
        </r>
      </text>
    </comment>
    <comment ref="AG42" authorId="0" shapeId="0" xr:uid="{B9B866B6-65F3-4EE1-8C8E-82E7875F256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Expenditure, and Consumption Survey</t>
        </r>
      </text>
    </comment>
    <comment ref="AJ42" authorId="0" shapeId="0" xr:uid="{E93BF260-CE7D-4AEC-B39B-1C0516EA72A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Expenditure, and Consumption Survey</t>
        </r>
      </text>
    </comment>
    <comment ref="AN42" authorId="0" shapeId="0" xr:uid="{D595BE80-4CE2-4340-93AE-70967C995E7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HIECS 2019-2020</t>
        </r>
      </text>
    </comment>
    <comment ref="S43" authorId="0" shapeId="0" xr:uid="{04A02A6C-2759-44D4-94B4-65C0545824A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T43" authorId="0" shapeId="0" xr:uid="{474D2C15-47DF-4418-BD3F-CC349C86791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U43" authorId="0" shapeId="0" xr:uid="{4D93A92E-275A-45F5-AA37-2E8EBC711CA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V43" authorId="0" shapeId="0" xr:uid="{4E208A09-9924-4254-8E44-35D8C46C301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W43" authorId="0" shapeId="0" xr:uid="{F693DBEF-5877-458E-9DBE-9739F5C778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X43" authorId="0" shapeId="0" xr:uid="{96C9F5F0-E168-4A9A-B56A-6AC815BF6DC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Y43" authorId="0" shapeId="0" xr:uid="{FAF0AA5C-C25D-44B3-B985-E63F61E80A8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Z43" authorId="0" shapeId="0" xr:uid="{D300A656-7A98-47FE-AB6E-EBFB5B535D2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AA43" authorId="0" shapeId="0" xr:uid="{C3B69A60-1751-4AF5-904E-95F0EF84433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AB43" authorId="0" shapeId="0" xr:uid="{B9F5886E-45B9-402D-8CEA-264C0D6FB2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Multiple Purpose household survey</t>
        </r>
      </text>
    </comment>
    <comment ref="AC43" authorId="0" shapeId="0" xr:uid="{66F62C8C-EC4A-4338-B028-B459131899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Expenditure, and Consumption Survey 2008</t>
        </r>
      </text>
    </comment>
    <comment ref="AD43" authorId="0" shapeId="0" xr:uid="{0E200090-9E3D-4367-A824-08FB0429A1C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E43" authorId="0" shapeId="0" xr:uid="{496605D8-C086-4C19-8729-576561E3124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F43" authorId="0" shapeId="0" xr:uid="{65863533-E0D2-4A3A-8180-A4C47A593E7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G43" authorId="0" shapeId="0" xr:uid="{88E332E9-B82A-45DE-9271-B192516D2F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H43" authorId="0" shapeId="0" xr:uid="{640DE415-2298-4AD2-9D96-347D5702763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I43" authorId="0" shapeId="0" xr:uid="{F5EDD1D2-C106-494E-BDB6-DC209B122C1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J43" authorId="0" shapeId="0" xr:uid="{55DA37D5-9087-46D0-B132-B76A9066B5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Propósitos Múltiples</t>
        </r>
      </text>
    </comment>
    <comment ref="AK43" authorId="1" shapeId="0" xr:uid="{F5E03DE7-9C97-4671-8728-18536AD90C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http://digestyc.microdatahub.com/index.php/catalog/16/study-description</t>
        </r>
      </text>
    </comment>
    <comment ref="AL43" authorId="1" shapeId="0" xr:uid="{AAEEB912-B089-40CF-AD5E-ED09B69504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http://digestyc.microdatahub.com/index.php/catalog/17</t>
        </r>
      </text>
    </comment>
    <comment ref="AM43" authorId="1" shapeId="0" xr:uid="{AD97D91C-C152-4A72-B068-C4DC642894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de Hogares de Propósitos Múltiples 2018</t>
        </r>
      </text>
    </comment>
    <comment ref="AA44" authorId="0" shapeId="0" xr:uid="{BFFB1733-A8F5-4484-8F01-88B6DD283C8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survey</t>
        </r>
      </text>
    </comment>
    <comment ref="AN44" authorId="0" shapeId="0" xr:uid="{1988BA6E-E598-47EF-A684-885FD4C8D64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Hogares de Propositos Multiples 2019 de Guinea Ecuatorial</t>
        </r>
      </text>
    </comment>
    <comment ref="AD46" authorId="0" shapeId="0" xr:uid="{4C02FAE0-3DFD-4D0D-ADC6-332D42CF1E7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2009-2010</t>
        </r>
      </text>
    </comment>
    <comment ref="AK46" authorId="0" shapeId="0" xr:uid="{1287BECA-9AC6-4EA8-A992-095930F0C49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Eswatini Household Income and Expenditure Survey, 2015/16</t>
        </r>
      </text>
    </comment>
    <comment ref="T47" authorId="0" shapeId="0" xr:uid="{B7A2AE0E-D4F6-43C4-BBCA-77957AE10F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Consumption and Expenditure Survey 1999-2000</t>
        </r>
      </text>
    </comment>
    <comment ref="W47" authorId="0" shapeId="0" xr:uid="{E4CC6FE1-D8CD-4B1F-9F4D-F2C652AA487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Y47" authorId="0" shapeId="0" xr:uid="{EDBFA115-2FBD-4806-B719-1C96EF7B356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Income, Consumption and Expenditure Survey 2004-2005</t>
        </r>
      </text>
    </comment>
    <comment ref="AC47" authorId="0" shapeId="0" xr:uid="{E4C121C0-DD26-4C43-98DA-2067272EF9E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
</t>
        </r>
      </text>
    </comment>
    <comment ref="AE47" authorId="0" shapeId="0" xr:uid="{B83E6CFE-0E3C-4355-BB19-073F93BF345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Consumption Expenditure Survey 2015-2016</t>
        </r>
      </text>
    </comment>
    <comment ref="AF47" authorId="0" shapeId="0" xr:uid="{67DF162F-96BE-4428-A065-4D3575BE166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Rural Socioeconomic Survey 2011-2012
</t>
        </r>
      </text>
    </comment>
    <comment ref="AH47" authorId="0" shapeId="0" xr:uid="{C20B3284-FCC8-4263-978D-63F37F9CED9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Socioeconomic Survey 2013-2014
</t>
        </r>
      </text>
    </comment>
    <comment ref="AJ47" authorId="0" shapeId="0" xr:uid="{6861988F-86E0-46D1-8D09-5BF389D0C92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Consumption Expenditure Survey 2015-2016</t>
        </r>
      </text>
    </comment>
    <comment ref="W48" authorId="0" shapeId="0" xr:uid="{2B760725-CE52-455E-8580-822E6CF66F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C48" authorId="0" shapeId="0" xr:uid="{B9922F28-DC88-4E4A-A938-61C443284EC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H48" authorId="0" shapeId="0" xr:uid="{DE90D38A-6782-4FD3-9CBF-67B3EDAB0B5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2013-2014</t>
        </r>
      </text>
    </comment>
    <comment ref="AN48" authorId="0" shapeId="0" xr:uid="{13AC20B7-A31C-4A0D-8F35-C98E262F4CC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Z49" authorId="0" shapeId="0" xr:uid="{6239F0E2-1894-402B-85E3-6C964AC9212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Gabonaise pour l'Evaluation et le Suivi de la Pauvreté 2005</t>
        </r>
      </text>
    </comment>
    <comment ref="AL49" authorId="0" shapeId="0" xr:uid="{23AF5A82-D449-4036-B330-0413B8DC85D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Deuxieme Enquete Gabonaise d'Evaluation de la Pauvrete</t>
        </r>
      </text>
    </comment>
    <comment ref="X50" authorId="0" shapeId="0" xr:uid="{72BBE421-BA9A-4179-ABFF-5EF629C04B0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</t>
        </r>
      </text>
    </comment>
    <comment ref="AE50" authorId="0" shapeId="0" xr:uid="{02B0E95E-F06B-44F8-B215-AE04B4D2411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2010</t>
        </r>
      </text>
    </comment>
    <comment ref="AJ50" authorId="0" shapeId="0" xr:uid="{718EF83C-B9BE-4978-AC27-561E832BD5E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2015-2016</t>
        </r>
      </text>
    </comment>
    <comment ref="AN50" authorId="0" shapeId="0" xr:uid="{92B36B87-B4A7-4E74-84F5-774FABD41AA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2019-2020</t>
        </r>
      </text>
    </comment>
    <comment ref="U51" authorId="0" shapeId="0" xr:uid="{78474401-E5FF-4351-A1F8-03B4B9804B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V51" authorId="0" shapeId="0" xr:uid="{0520A31F-6D0E-4218-87A1-F49C8E371E0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W51" authorId="0" shapeId="0" xr:uid="{B96B66D7-518A-4436-A993-8D47E7EFF22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X51" authorId="0" shapeId="0" xr:uid="{685E1FFC-840F-4570-932B-9EAFE2612B6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Y51" authorId="0" shapeId="0" xr:uid="{D36BA6C1-8903-40E6-9C4D-B0F04F1313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Z51" authorId="0" shapeId="0" xr:uid="{6A3FA301-0574-4CDE-BD0A-959E23461AE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AA51" authorId="0" shapeId="0" xr:uid="{7AE7DD5C-34BD-4BC4-89CE-10150B99F72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AB51" authorId="0" shapeId="0" xr:uid="{D0D87DC2-2EBB-48B3-8578-7239E37AD55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AC51" authorId="0" shapeId="0" xr:uid="{D23BA568-0B0D-4B92-9A0F-BD2D417F4C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</t>
        </r>
      </text>
    </comment>
    <comment ref="AD51" authorId="0" shapeId="0" xr:uid="{BC565571-9F44-4A81-9C5E-C9720B16A29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2009</t>
        </r>
      </text>
    </comment>
    <comment ref="AE51" authorId="0" shapeId="0" xr:uid="{9E19393C-A149-499D-9E57-61F520D4BB8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2010</t>
        </r>
      </text>
    </comment>
    <comment ref="AF51" authorId="0" shapeId="0" xr:uid="{864CFA27-1193-46EA-9A4A-4B24F1B44A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2011</t>
        </r>
      </text>
    </comment>
    <comment ref="AG51" authorId="0" shapeId="0" xr:uid="{5D4479E5-50B8-4F38-8CAC-90F986326E6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2012</t>
        </r>
      </text>
    </comment>
    <comment ref="AH51" authorId="0" shapeId="0" xr:uid="{6A01C079-40F1-4C18-BDB6-5A96F4FC312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2013</t>
        </r>
      </text>
    </comment>
    <comment ref="AI51" authorId="0" shapeId="0" xr:uid="{CA86EC0B-FDF7-467B-AB05-08F964A7FC2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2014</t>
        </r>
      </text>
    </comment>
    <comment ref="AJ51" authorId="0" shapeId="0" xr:uid="{FC92E382-A0A5-4492-8001-D99E1AE2143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Integrated Survey 2015</t>
        </r>
      </text>
    </comment>
    <comment ref="AK51" authorId="0" shapeId="0" xr:uid="{E9967D4D-6A77-401F-8659-B1828EB18FC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2016</t>
        </r>
      </text>
    </comment>
    <comment ref="AL51" authorId="0" shapeId="0" xr:uid="{535CE004-0A7C-4596-9815-1FF5FFAE692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2017</t>
        </r>
      </text>
    </comment>
    <comment ref="X52" authorId="0" shapeId="0" xr:uid="{E42C6535-6E09-48BE-8900-355F3326BD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Urban household panel survey
</t>
        </r>
      </text>
    </comment>
    <comment ref="Z52" authorId="0" shapeId="0" xr:uid="{B73D4EC8-E255-4353-89CC-1636336579B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</t>
        </r>
      </text>
    </comment>
    <comment ref="AA52" authorId="0" shapeId="0" xr:uid="{86363CBE-7E96-4C58-AF68-FBCD0C7F13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Urban household panel survey
</t>
        </r>
      </text>
    </comment>
    <comment ref="AE52" authorId="0" shapeId="0" xr:uid="{A92FEB70-DE25-4B85-A1ED-4F87B4B332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Population and Housing Census 2010 - IPUMS Subset
</t>
        </r>
      </text>
    </comment>
    <comment ref="AG52" authorId="0" shapeId="0" xr:uid="{79A30174-148A-401E-A507-CFA577C28D1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VI 2012-2013</t>
        </r>
      </text>
    </comment>
    <comment ref="AK52" authorId="0" shapeId="0" xr:uid="{36954780-2681-464C-B2FC-6080389AC3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Ghana Living Standard Survey (GLSS 7) 2017</t>
        </r>
      </text>
    </comment>
    <comment ref="AB53" authorId="0" shapeId="0" xr:uid="{6051B4D9-8173-4A9B-AA55-18DB786C533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Expenditure and Income</t>
        </r>
      </text>
    </comment>
    <comment ref="AM53" authorId="0" shapeId="0" xr:uid="{8EA6EFED-DD08-4E8A-B025-A8AAB38E945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Budgets (SLC-HBS) 2018-19</t>
        </r>
      </text>
    </comment>
    <comment ref="U54" authorId="0" shapeId="0" xr:uid="{4D34364B-CD1C-4326-BAF3-44A119D5C8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Condiciones de Vida</t>
        </r>
      </text>
    </comment>
    <comment ref="AA54" authorId="0" shapeId="0" xr:uid="{DC2BBF4E-6E72-47B9-A66B-C29592E3A4F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Condiciones de Vida</t>
        </r>
      </text>
    </comment>
    <comment ref="AF54" authorId="0" shapeId="0" xr:uid="{0006EC32-B216-427A-A3AB-6E4064351B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Condiciones de Vida 2011</t>
        </r>
      </text>
    </comment>
    <comment ref="AI54" authorId="0" shapeId="0" xr:uid="{B376B4AE-F545-41C7-912B-824C0825A23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Condiciones de Vida 2014</t>
        </r>
      </text>
    </comment>
    <comment ref="W55" authorId="0" shapeId="0" xr:uid="{27B2A5F1-2B6A-4B52-A629-7E3BF8B4864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Intégrée de Base pour l'Evaluation de la Pauvreté</t>
        </r>
      </text>
    </comment>
    <comment ref="AB55" authorId="0" shapeId="0" xr:uid="{C70A3C9C-2A5C-455A-A857-28F494B6CDB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Intégrée de Base pour l'Evaluation de la Pauvreté</t>
        </r>
      </text>
    </comment>
    <comment ref="AG55" authorId="0" shapeId="0" xr:uid="{CBED7480-0B73-49CE-BAC4-54A3C83E38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Légère pour l'Evaluation de la Pauvreté 2012</t>
        </r>
      </text>
    </comment>
    <comment ref="W56" authorId="0" shapeId="0" xr:uid="{FDBB7BBE-089D-4ECA-930B-77DDE83AB36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Ligeiro Sobre as Condições de Vida da População</t>
        </r>
      </text>
    </comment>
    <comment ref="AE56" authorId="0" shapeId="0" xr:uid="{CF9F6FB3-40BB-4157-BCF4-E5B87B2B449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Inquerito Ligeiro para a Avaliação da Pobreza 2010</t>
        </r>
      </text>
    </comment>
    <comment ref="AM56" authorId="0" shapeId="0" xr:uid="{634C2B3A-0E02-4A4A-BBF3-1EA16CB6B33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 2018</t>
        </r>
      </text>
    </comment>
    <comment ref="AM57" authorId="0" shapeId="0" xr:uid="{28FECDDC-94A6-476E-B291-CA462A1DD96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and Living Condition Survey 2018-19</t>
        </r>
      </text>
    </comment>
    <comment ref="V58" authorId="0" shapeId="0" xr:uid="{17408C0A-C4D8-4338-BD7B-D5663E51DB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les Conditions de Vie en Haïti 2001</t>
        </r>
      </text>
    </comment>
    <comment ref="AG58" authorId="0" shapeId="0" xr:uid="{E4DB7B79-7EAF-497C-8435-21FC42C3A5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les Conditions de vie des Ménages Après le Séisme 2013</t>
        </r>
      </text>
    </comment>
    <comment ref="AH58" authorId="0" shapeId="0" xr:uid="{ED11704F-EE32-40B8-BC0C-B753DF6FD4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sur les Conditions de vie des Ménages Après le Séisme 2013</t>
        </r>
      </text>
    </comment>
    <comment ref="AL58" authorId="0" shapeId="0" xr:uid="{6EFCCE62-D44E-4531-AFB3-703FEA0A41C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Well-being via Instant and Frequent Tracking (SWIFT) and Education</t>
        </r>
      </text>
    </comment>
    <comment ref="V59" authorId="0" shapeId="0" xr:uid="{1362535A-7FA5-452D-9E7A-05D46031227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W59" authorId="0" shapeId="0" xr:uid="{72F7C07D-4E6A-4537-BC8C-BC4500C1C6F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X59" authorId="0" shapeId="0" xr:uid="{14823628-C02F-4411-BE1C-95A79DC235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Y59" authorId="0" shapeId="0" xr:uid="{8423D5B5-92E2-41EE-821F-A0922416D32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Z59" authorId="0" shapeId="0" xr:uid="{AC1437DC-804C-49A6-BB9B-BD1D603BE1E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A59" authorId="0" shapeId="0" xr:uid="{AD85AFA8-C530-42DD-9C30-D3C1E3EFB3F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B59" authorId="0" shapeId="0" xr:uid="{026046B8-F897-476D-B9CE-7BAF0D49895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C59" authorId="0" shapeId="0" xr:uid="{B8E2C106-224F-43F2-ACCD-FC3E50C93CF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D59" authorId="0" shapeId="0" xr:uid="{186EABFD-6F1E-4CAF-813E-2E02F5561D4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E59" authorId="0" shapeId="0" xr:uid="{0EFE88D4-F703-4A85-9DFB-A54FAA035EF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F59" authorId="0" shapeId="0" xr:uid="{B9D19830-33F3-4D77-B4EC-E8C4A07E73D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G59" authorId="0" shapeId="0" xr:uid="{44AF140D-A75C-4F39-B137-7EF547BB7E7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H59" authorId="0" shapeId="0" xr:uid="{DC13E589-DFE7-43B3-A33A-E56E5D1EBC0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I59" authorId="0" shapeId="0" xr:uid="{32E21BA4-C692-423C-B2F0-5E65E919E64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J59" authorId="0" shapeId="0" xr:uid="{D05245F6-03A8-4E77-8890-9E5A9BDA3E9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K59" authorId="0" shapeId="0" xr:uid="{5579E4A9-434E-4986-A628-87B3C02705F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L59" authorId="0" shapeId="0" xr:uid="{DCBC71B7-476F-45D8-82D6-84AD1F89F1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</t>
        </r>
      </text>
    </comment>
    <comment ref="AM59" authorId="0" shapeId="0" xr:uid="{7FAB25CE-8A1F-47E6-9427-51757FCCC5D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 de Propósitos Múltiples/Encuesta Nacional de Ingresos y Gastos de Honduras\Encuesta Permanente de Hogares de Propósitos Múltiples 2018</t>
        </r>
      </text>
    </comment>
    <comment ref="Y60" authorId="0" shapeId="0" xr:uid="{DF907EFD-822C-4285-BF33-11930E15E80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Sample Survey 2004-2005 (61st Round) - Schedule 1.0 - Consumer Expenditure</t>
        </r>
      </text>
    </comment>
    <comment ref="Z60" authorId="0" shapeId="0" xr:uid="{45A9D7B3-8C0C-4EED-AD29-3554A75731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consumer expenditure, national sample survey
</t>
        </r>
      </text>
    </comment>
    <comment ref="AA60" authorId="0" shapeId="0" xr:uid="{0DBCC108-48A0-402B-BF01-BFACD2CD0D2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consumer expenditure, national sample survey
</t>
        </r>
      </text>
    </comment>
    <comment ref="AB60" authorId="1" shapeId="0" xr:uid="{2A34306D-D98D-414E-B9DD-335794ACD6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National Sample Survey 2007-2008 (64th round) - Schedule 1.0 - Consumer Expenditure</t>
        </r>
      </text>
    </comment>
    <comment ref="AD60" authorId="0" shapeId="0" xr:uid="{F9C0D971-AF1A-4A34-9171-BB722D285C4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Sample Survey 2009-2010 (66th round) - Schedule 1.0 (Type 1) - Consumer Expenditure</t>
        </r>
      </text>
    </comment>
    <comment ref="AF60" authorId="0" shapeId="0" xr:uid="{A3FF8F51-BA19-4429-AFAC-421A71D4308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Sample Survey 2011-2012 (68th round) - Schedule 1.0 (Type 1) - Consumer Expenditure</t>
        </r>
      </text>
    </comment>
    <comment ref="AJ60" authorId="1" shapeId="0" xr:uid="{2E5F4B06-DDFE-4EA4-BDB7-47B46040DED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http://microdata.gov.in/nada43/index.php/catalog/CEXP</t>
        </r>
      </text>
    </comment>
    <comment ref="U61" authorId="0" shapeId="0" xr:uid="{BEF5B812-EA38-4D95-AFCD-2D519564679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Socio-Economic Survey</t>
        </r>
      </text>
    </comment>
    <comment ref="V61" authorId="0" shapeId="0" xr:uid="{7EDA09B5-9650-496A-8ABD-DD641335707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Socio-Economic Survey</t>
        </r>
      </text>
    </comment>
    <comment ref="W61" authorId="0" shapeId="0" xr:uid="{7DFA6860-8FF7-4F74-B715-6AEF57BADCF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X61" authorId="0" shapeId="0" xr:uid="{09F351B0-0A1E-4E18-906B-5C6B4A932F2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Y61" authorId="0" shapeId="0" xr:uid="{886AC3D4-637C-45CA-81AE-31D5A09B768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Z61" authorId="0" shapeId="0" xr:uid="{2BE043EF-5A70-46A7-899C-1406DE6B85E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A61" authorId="0" shapeId="0" xr:uid="{EB84B53D-308C-446E-B64C-2001196BF48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B61" authorId="0" shapeId="0" xr:uid="{4A1BDD3B-E763-48F3-819C-64D1A9C96FE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C61" authorId="0" shapeId="0" xr:uid="{13826CE6-503C-4114-BD79-4F8F4C5E0B3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D61" authorId="0" shapeId="0" xr:uid="{6D750CDA-2834-4DC0-88F6-E5CB930F6B4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E61" authorId="0" shapeId="0" xr:uid="{D509ED82-4E1B-4836-98AF-759D876A2AD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Socio-Economic Survey 2010, Panel SUSENAS</t>
        </r>
      </text>
    </comment>
    <comment ref="AF61" authorId="0" shapeId="0" xr:uid="{51BC11AA-B3C9-4F71-A6B3-FF37200E05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G61" authorId="0" shapeId="0" xr:uid="{A9D69F53-7223-4171-9A76-C29B14ABC66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H61" authorId="0" shapeId="0" xr:uid="{D8318E4E-16DF-4237-AEFA-6D0E7E4A955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I61" authorId="0" shapeId="0" xr:uid="{4655B912-444F-4EED-A9A0-6DA47191B7A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J61" authorId="0" shapeId="0" xr:uid="{BA856436-65BC-48DD-8FF1-74A838A073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Survei Sosial Ekonomi Nasional</t>
        </r>
      </text>
    </comment>
    <comment ref="AK61" authorId="0" shapeId="0" xr:uid="{23EF2822-54DF-4FF9-9FC3-AF2F1E57750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Socio-Economic Survey</t>
        </r>
      </text>
    </comment>
    <comment ref="AL61" authorId="0" shapeId="0" xr:uid="{BF47B070-D0CD-406E-A7D0-600AC38BFB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Socio-Economic Survey</t>
        </r>
      </text>
    </comment>
    <comment ref="AM61" authorId="0" shapeId="0" xr:uid="{43560779-DE93-4566-9455-B96614A1CA5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Socio-Economic Survey</t>
        </r>
      </text>
    </comment>
    <comment ref="Z62" authorId="0" shapeId="0" xr:uid="{617A7568-1AA2-490A-92CD-B3839030AC5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Households Income and Expenditure Survey</t>
        </r>
      </text>
    </comment>
    <comment ref="AA62" authorId="0" shapeId="0" xr:uid="{29125FDA-3B72-4904-AD76-5B36D5731E3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Households Income and Expenditure Survey</t>
        </r>
      </text>
    </comment>
    <comment ref="AD62" authorId="0" shapeId="0" xr:uid="{AC1E390B-A6B8-4972-A524-1824AA8D60C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Households Income and Expenditure Survey</t>
        </r>
      </text>
    </comment>
    <comment ref="AH62" authorId="0" shapeId="0" xr:uid="{1B5992D1-5AFE-43B8-B02A-109F631D1F1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I62" authorId="0" shapeId="0" xr:uid="{76EA6ACF-98F9-4A71-AB91-7B6BE8C90D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J62" authorId="0" shapeId="0" xr:uid="{D0EADBA5-DDBA-465B-B021-6AB8E6FBC8A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K62" authorId="0" shapeId="0" xr:uid="{61A77CAA-59B7-47D1-93F1-90538E0B20A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L62" authorId="0" shapeId="0" xr:uid="{BAE85EE1-4254-4945-88AA-40C871823A9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A63" authorId="0" shapeId="0" xr:uid="{C9F25044-62D8-43A4-8EA9-95D77907C54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</t>
        </r>
      </text>
    </comment>
    <comment ref="AG63" authorId="0" shapeId="0" xr:uid="{A0F69227-DF95-42C8-A68F-45FA8F763C4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2012, Master Datasets for World Bank MNAPOV Harmonization</t>
        </r>
      </text>
    </comment>
    <comment ref="AL63" authorId="0" shapeId="0" xr:uid="{A5A32465-5F2C-48ED-975C-0A9986EECEA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Rapid Welfare Monitoring Survey</t>
        </r>
      </text>
    </comment>
    <comment ref="AN63" authorId="0" shapeId="0" xr:uid="{11C3A5AC-B952-401F-90BE-30818979274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Socioeconomic Survey</t>
        </r>
      </text>
    </comment>
    <comment ref="U64" authorId="0" shapeId="0" xr:uid="{8F279B49-F58E-4D4A-9BE6-B76AE13913B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</t>
        </r>
      </text>
    </comment>
    <comment ref="V64" authorId="0" shapeId="0" xr:uid="{B5A9B93E-BAAE-4881-AFC6-070B202E647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</t>
        </r>
      </text>
    </comment>
    <comment ref="W64" authorId="0" shapeId="0" xr:uid="{A07FC5CC-AC9B-41E5-81AB-7CD562A49D7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</t>
        </r>
      </text>
    </comment>
    <comment ref="X64" authorId="0" shapeId="0" xr:uid="{832676D7-2F4A-4463-9552-3742088220E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Y64" authorId="0" shapeId="0" xr:uid="{7A747BF4-43CD-412A-947B-4699DD25613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Z64" authorId="0" shapeId="0" xr:uid="{C9AD52BD-A280-4B15-BE22-26CADE95A35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A64" authorId="0" shapeId="0" xr:uid="{91B6DB20-E784-4E4B-9AD4-87307C4304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B64" authorId="0" shapeId="0" xr:uid="{4C95CFAE-0A6A-49D3-A8C5-D84E4848334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C64" authorId="0" shapeId="0" xr:uid="{268C823E-068B-4857-A5F5-CF2822B738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D64" authorId="0" shapeId="0" xr:uid="{D4FCB71F-C2E8-4014-BCB4-D8362ACE67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E64" authorId="0" shapeId="0" xr:uid="{CADAE287-4450-4C1E-979A-E679892B1D4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F64" authorId="0" shapeId="0" xr:uid="{156FB90F-52BB-46D0-A127-8BE4CA6D297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G64" authorId="0" shapeId="0" xr:uid="{B57DCB40-7E9E-4AD4-B1A3-1C9207599D5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H64" authorId="0" shapeId="0" xr:uid="{6498DBB0-F976-4D47-BB1B-F4ABCB70518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I64" authorId="0" shapeId="0" xr:uid="{444368DA-E5F0-4083-8457-DE6FB91579E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J64" authorId="0" shapeId="0" xr:uid="{07E2ABEB-8B0C-4A53-AC97-C13C2A4BCE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AK64" authorId="0" shapeId="0" xr:uid="{B441D74F-AA9B-43AF-80F7-34B2E59D00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Jamaica Survey of Living Conditions</t>
        </r>
      </text>
    </comment>
    <comment ref="W65" authorId="0" shapeId="0" xr:uid="{281620D8-AA94-4D5A-A3FB-D5D99094E16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2002</t>
        </r>
      </text>
    </comment>
    <comment ref="AA65" authorId="0" shapeId="0" xr:uid="{CF4CE0CB-EE49-4A83-BC01-23AA528BE75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C65" authorId="0" shapeId="0" xr:uid="{F74C4F10-7D4B-4F89-8C64-0395660C1E2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</t>
        </r>
      </text>
    </comment>
    <comment ref="AE65" authorId="0" shapeId="0" xr:uid="{4ACED993-D848-4539-A3F9-8649BE72648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 2010</t>
        </r>
      </text>
    </comment>
    <comment ref="AH65" authorId="1" shapeId="0" xr:uid="{FC1F9DC2-466F-4546-8BD6-E0B67C12C6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http://dosweb.dos.gov.jo/economic/expenditures-income/</t>
        </r>
      </text>
    </comment>
    <comment ref="AL65" authorId="0" shapeId="0" xr:uid="{45CA3442-1092-478A-A53A-6E4DCE43FE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Income Survey 2010</t>
        </r>
      </text>
    </comment>
    <comment ref="V66" authorId="0" shapeId="0" xr:uid="{CB7EC15B-15F7-4EAE-BE0F-99F8792A2D4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66" authorId="0" shapeId="0" xr:uid="{59598F68-5001-4028-A536-A4BCDFF9BE6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66" authorId="0" shapeId="0" xr:uid="{FC87D1B2-114F-48A7-AE2A-B8EF6552C3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66" authorId="0" shapeId="0" xr:uid="{D6D456FF-F734-4AC2-9789-00BFB23C9B9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66" authorId="0" shapeId="0" xr:uid="{03D7F40B-680F-4479-BE7B-E6D8743A9FB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66" authorId="0" shapeId="0" xr:uid="{5E15323B-D395-4DF0-BA9A-C64E5BCB1A0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B66" authorId="0" shapeId="0" xr:uid="{A07893EA-161A-4F4F-A928-1582A5C4D2D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66" authorId="0" shapeId="0" xr:uid="{7188CDA8-8940-46EE-B107-ABDF41D99AA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66" authorId="0" shapeId="0" xr:uid="{8B41DDD9-B845-4507-8250-CA1D6391D68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E66" authorId="0" shapeId="0" xr:uid="{475299F5-AC00-4D95-BCAC-A4242BE79E2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F66" authorId="0" shapeId="0" xr:uid="{785B3817-9E68-404C-9008-A81972DAD89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G66" authorId="0" shapeId="0" xr:uid="{B678ADDE-D0DE-4D51-AC22-4ABC0FFF900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H66" authorId="0" shapeId="0" xr:uid="{1FFE1B80-8B98-4335-A860-1985E3B978A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I66" authorId="0" shapeId="0" xr:uid="{0D5285B1-84F2-4205-B931-F363FC46F4F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J66" authorId="0" shapeId="0" xr:uid="{9D432E8B-EF11-4430-A858-B91C79C1C9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K66" authorId="0" shapeId="0" xr:uid="{EC21B261-10D9-4F77-BDBD-528A4FC7D6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AL66" authorId="0" shapeId="0" xr:uid="{FC715F48-4101-4B19-9468-DD045F5CA6A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The Household Budget Survey of Kazakhstan </t>
        </r>
      </text>
    </comment>
    <comment ref="Z67" authorId="0" shapeId="0" xr:uid="{AA344BD1-CD77-4E75-BC53-4B03C018612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Budget Survey</t>
        </r>
      </text>
    </comment>
    <comment ref="AJ67" authorId="0" shapeId="0" xr:uid="{E1108D8B-F7CC-4E67-ADE6-B9BECDFF2A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Budget Survey</t>
        </r>
      </text>
    </comment>
    <comment ref="AN67" authorId="0" shapeId="0" xr:uid="{0FD25C0F-D53E-47CA-AEB1-FFDBB989DD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Kenyan Continuous Household Survey</t>
        </r>
      </text>
    </comment>
    <comment ref="AA68" authorId="0" shapeId="0" xr:uid="{5266BD1E-915B-4195-9862-23ACF6F3A5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N68" authorId="0" shapeId="0" xr:uid="{1967165A-BE33-422E-BA7B-8694EF92D79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X69" authorId="0" shapeId="0" xr:uid="{BC6AD9CA-5BA8-4B40-9BE0-17BA7A2ECF8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69" authorId="0" shapeId="0" xr:uid="{78B5FE48-D5F2-47C0-B48C-1A84373FCB6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69" authorId="0" shapeId="0" xr:uid="{81AD6E98-5C99-4A4C-B54F-BB7CF0B0C1B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A69" authorId="0" shapeId="0" xr:uid="{F5CF9038-2601-45C2-A3AA-3629FEF9A0E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B69" authorId="0" shapeId="0" xr:uid="{46FFEFEC-8FEE-44FA-A5A8-5290868C860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69" authorId="0" shapeId="0" xr:uid="{223381D1-B91B-4643-9760-A3FEBF217A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69" authorId="0" shapeId="0" xr:uid="{BF9B615D-17B5-429D-9025-A2BD6415493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E69" authorId="0" shapeId="0" xr:uid="{372FC4FC-C07B-4017-B550-C15430B8800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F69" authorId="0" shapeId="0" xr:uid="{0A67F1AF-1A92-42BB-84C6-1504675223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G69" authorId="0" shapeId="0" xr:uid="{AE2042A5-4E19-4894-B2F2-0A5479B8F1B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H69" authorId="0" shapeId="0" xr:uid="{7541ADDA-0CF2-42CD-ACC4-735B9940A5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I69" authorId="0" shapeId="0" xr:uid="{ADB1857D-0D4D-47AB-9E02-7B8BD9C6056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J69" authorId="0" shapeId="0" xr:uid="{160F88AF-3685-400C-9D2D-624E79B3124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K69" authorId="0" shapeId="0" xr:uid="{019668AD-9427-420A-B7E3-BAF8FF69C20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L69" authorId="0" shapeId="0" xr:uid="{400487EF-CE20-433C-9557-84BE022C8BB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M69" authorId="0" shapeId="0" xr:uid="{A31B51CF-0F97-4A50-B141-3EEFF0D5CDB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EU Survey on Income and Living Conditions</t>
        </r>
      </text>
    </comment>
    <comment ref="U70" authorId="0" shapeId="0" xr:uid="{CA640C66-E1C3-476D-A3AF-FDAF6FCC625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V70" authorId="0" shapeId="0" xr:uid="{5D52DB9B-9C6F-46FF-9BF7-DF3D1163DD1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70" authorId="0" shapeId="0" xr:uid="{4E4DD210-624F-4FE9-A1FF-A04AA8527E4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70" authorId="0" shapeId="0" xr:uid="{FE896E3A-CD2A-4301-924A-26DCEE84F83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70" authorId="0" shapeId="0" xr:uid="{4E0548FE-FD0B-40F2-8420-3F5330A409A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Kyrgyz Integrated Household Survey</t>
        </r>
      </text>
    </comment>
    <comment ref="Z70" authorId="0" shapeId="0" xr:uid="{9AE160F0-E486-4561-8BB7-6017B176089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Kyrgyz Integrated Household Survey</t>
        </r>
      </text>
    </comment>
    <comment ref="AA70" authorId="0" shapeId="0" xr:uid="{3775E11E-2CEC-4516-AA16-2744996225F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Kyrgyz Integrated Household Survey</t>
        </r>
      </text>
    </comment>
    <comment ref="AB70" authorId="0" shapeId="0" xr:uid="{DA1965C9-10CB-4853-8C0A-47EFA3C39F8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Kyrgyz Integrated Household Survey</t>
        </r>
      </text>
    </comment>
    <comment ref="AC70" authorId="0" shapeId="0" xr:uid="{415F58C1-186D-498E-BFE9-01E88B40CDE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Kyrgyz Integrated Household Survey</t>
        </r>
      </text>
    </comment>
    <comment ref="AD70" authorId="0" shapeId="0" xr:uid="{6B711B22-4F25-44E4-B328-52CACDD28D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E70" authorId="0" shapeId="0" xr:uid="{2F84DF1D-719E-4E24-9B07-C0F12E762F5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F70" authorId="0" shapeId="0" xr:uid="{11EA252D-74E3-4794-8679-53954592895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G70" authorId="0" shapeId="0" xr:uid="{3ADDC74D-70B4-40CA-B6FD-5E162B6D8D6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H70" authorId="0" shapeId="0" xr:uid="{F377D662-DAA4-4B9C-B5F4-BED9017489F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I70" authorId="0" shapeId="0" xr:uid="{F819B392-7008-4E27-9845-C3356C18C2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J70" authorId="0" shapeId="0" xr:uid="{C63F9876-4256-4A9F-BD3F-CE7FD2F3704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K70" authorId="0" shapeId="0" xr:uid="{11E71CA7-D7F6-4624-B852-A7CA085E059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AL70" authorId="0" shapeId="0" xr:uid="{99E4CE99-9221-4527-8AEA-79B351405B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 Integrated Household Survey </t>
        </r>
      </text>
    </comment>
    <comment ref="W71" authorId="0" shapeId="0" xr:uid="{15C0509D-6395-4309-BB09-7A9CC2859E3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Expenditure and Consumption Survey 2002-2003</t>
        </r>
      </text>
    </comment>
    <comment ref="Y71" authorId="0" shapeId="0" xr:uid="{E33D0F8E-9F16-4063-A8DE-96514602EE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Household Survey
</t>
        </r>
      </text>
    </comment>
    <comment ref="AC71" authorId="0" shapeId="0" xr:uid="{B73BB887-857D-49FD-830D-F943578AA8B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Expenditure and Consumption Survey 2007-2008</t>
        </r>
      </text>
    </comment>
    <comment ref="AG71" authorId="0" shapeId="0" xr:uid="{25DBBEF0-81F0-4D72-9D9C-B6C65860B9B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Lao Expenditure and Consumption Survey V 2012-2013</t>
        </r>
      </text>
    </comment>
    <comment ref="AM71" authorId="1" shapeId="0" xr:uid="{497C115F-BD67-4AD1-997C-D1B90A2789A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https://laosis.lsb.gov.la/board/BoardList.do?bbs_bbsid=B404</t>
        </r>
      </text>
    </comment>
    <comment ref="Y72" authorId="0" shapeId="0" xr:uid="{EB9BCE41-DC27-4F79-91FD-325EE303303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survey of household living conditions 
</t>
        </r>
      </text>
    </comment>
    <comment ref="AF72" authorId="0" shapeId="0" xr:uid="{3540E307-B4AA-42A6-BDEB-5AF7002247C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Lebanon Household Budget Survey 2011</t>
        </r>
      </text>
    </comment>
    <comment ref="W73" authorId="0" shapeId="0" xr:uid="{50FFBFAD-AAB5-47B0-9710-A7861D2489C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E73" authorId="0" shapeId="0" xr:uid="{6B9FCE0A-41A8-4765-93E0-D479B723431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??</t>
        </r>
      </text>
    </comment>
    <comment ref="AF73" authorId="0" shapeId="0" xr:uid="{AE4A4CFF-BD99-4EA9-AFB2-66457204F80C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Continuous Multi-Purpose Household Survey 2011</t>
        </r>
      </text>
    </comment>
    <comment ref="AL73" authorId="0" shapeId="0" xr:uid="{CD7F372D-4831-46E8-9E74-91F6FF39C94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2017-2018</t>
        </r>
      </text>
    </comment>
    <comment ref="AB74" authorId="0" shapeId="0" xr:uid="{32D1146E-CFA5-49FD-896A-B6499FF3E8F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Core Welfare Indicators Questionnaire 2007</t>
        </r>
      </text>
    </comment>
    <comment ref="AI74" authorId="0" shapeId="0" xr:uid="{94A1E741-038D-481C-8A64-6EF6B0A7EB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2014-2015</t>
        </r>
      </text>
    </comment>
    <comment ref="AK74" authorId="0" shapeId="0" xr:uid="{AADDEC86-B2E9-4A9B-9E46-3F5158DED6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2016</t>
        </r>
      </text>
    </comment>
    <comment ref="U76" authorId="0" shapeId="0" xr:uid="{C9E2E119-9303-43EE-99AF-C2CDFE3C3D1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W76" authorId="0" shapeId="0" xr:uid="{9F645306-BCCD-46B3-AC79-2BCA429B0E6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76" authorId="0" shapeId="0" xr:uid="{3E3BEB72-1270-44F1-A2B6-29C9ABBD976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76" authorId="0" shapeId="0" xr:uid="{BC8C5889-9519-4C4C-91EE-5DB35145A7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Z76" authorId="0" shapeId="0" xr:uid="{316C05EF-E4C2-4843-A8A0-517BD8A7C25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A76" authorId="0" shapeId="0" xr:uid="{3BACBF3E-C168-42F0-A80E-ABD1551251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C76" authorId="0" shapeId="0" xr:uid="{6B3D154C-CDBC-422A-A09D-44497B57902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E76" authorId="0" shapeId="0" xr:uid="{BE1FEFA4-9773-4167-B2BB-556AA56F056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2010</t>
        </r>
      </text>
    </comment>
    <comment ref="AF76" authorId="0" shapeId="0" xr:uid="{B9C33DF8-4499-4A23-B887-9393D5584D2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2011</t>
        </r>
      </text>
    </comment>
    <comment ref="AG76" authorId="0" shapeId="0" xr:uid="{9F41D0A5-8084-42F8-9B53-C0199437AB1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2012</t>
        </r>
      </text>
    </comment>
    <comment ref="AH76" authorId="0" shapeId="0" xr:uid="{1FF18732-28A6-4012-88E7-013C939D3C3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2014</t>
        </r>
      </text>
    </comment>
    <comment ref="AI76" authorId="0" shapeId="0" xr:uid="{B81335C1-F66F-4A4C-8566-195A3463B48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2014</t>
        </r>
      </text>
    </comment>
    <comment ref="AJ76" authorId="0" shapeId="0" xr:uid="{5C783818-338E-4639-9F29-C9E88F70B9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2015</t>
        </r>
      </text>
    </comment>
    <comment ref="AK76" authorId="0" shapeId="0" xr:uid="{1C8ECC76-C67C-42D8-B34B-E8EBAA71FF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2016</t>
        </r>
      </text>
    </comment>
    <comment ref="AL76" authorId="0" shapeId="0" xr:uid="{35172F62-2834-4C5C-91EE-38C264FD3B9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North Macedonia - Survey of Income and Living Conditions-Cross-Sectional Database 2017</t>
        </r>
      </text>
    </comment>
    <comment ref="AM76" authorId="1" shapeId="0" xr:uid="{D9EDBDFF-80B8-41B4-9D8A-5469A810D1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2018</t>
        </r>
      </text>
    </comment>
    <comment ref="AE77" authorId="0" shapeId="0" xr:uid="{86BDEAAC-855F-4A36-B4A1-6B438A341D2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Périodique auprès des Ménages 2010`</t>
        </r>
      </text>
    </comment>
    <comment ref="AG77" authorId="0" shapeId="0" xr:uid="{1862B9F9-0DA7-4986-8BCB-E96CEEDE6F7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Périodique auprès des Ménages 2012</t>
        </r>
      </text>
    </comment>
    <comment ref="AE78" authorId="0" shapeId="0" xr:uid="{F347BFEE-5860-4843-BAE8-0F82BB9B76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Third Integrated Household Survey 2010-2011/ntegrated Household Living Conditions Survey 2010-2011 ; Subset for Machine Learning Comparative Assessment Project (MDL)
</t>
        </r>
      </text>
    </comment>
    <comment ref="AH78" authorId="0" shapeId="0" xr:uid="{57686E80-69B5-4319-AB43-2C18A8F109B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Rural Livelihood Survey 2012-2013
</t>
        </r>
      </text>
    </comment>
    <comment ref="AK78" authorId="0" shapeId="0" xr:uid="{B548FF34-94EE-4756-9F0B-FFFDC565DE8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Fourth Integrated Household Survey</t>
        </r>
      </text>
    </comment>
    <comment ref="AN78" authorId="0" shapeId="0" xr:uid="{8B8A9EBF-1352-44E3-86DE-51007714230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Fifth Integrated Household Survey</t>
        </r>
      </text>
    </comment>
    <comment ref="AD79" authorId="1" shapeId="0" xr:uid="{462693FE-807A-4C4B-BF97-D8B809E04A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2009-2010/Household Income and Basic Amenities Survey 2009</t>
        </r>
      </text>
    </comment>
    <comment ref="AG79" authorId="0" shapeId="0" xr:uid="{1ABD1646-FAA2-48C8-973B-0E2C4CE35875}">
      <text>
        <r>
          <rPr>
            <b/>
            <sz val="9"/>
            <color rgb="FF000000"/>
            <rFont val="Tahoma"/>
            <family val="2"/>
          </rPr>
          <t>Aieshwarya Davis: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Household Income and Basic Amenities Survey, 2012</t>
        </r>
      </text>
    </comment>
    <comment ref="AI79" authorId="0" shapeId="0" xr:uid="{922B6095-A9AD-41A8-8E1F-C6217E4552A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Basic Amenities Survey, 2014</t>
        </r>
      </text>
    </comment>
    <comment ref="AJ79" authorId="1" shapeId="0" xr:uid="{989EE905-CE6B-4BD6-84D6-294AF0F2CD6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Povcalnet</t>
        </r>
      </text>
    </comment>
    <comment ref="AK79" authorId="0" shapeId="0" xr:uid="{F95E2639-0366-45D4-8B1E-6C0E5186059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Basic Amenities Survey, 2016-17</t>
        </r>
      </text>
    </comment>
    <comment ref="AN79" authorId="0" shapeId="0" xr:uid="{AD5A6381-1BEA-4193-9485-BC884333C22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Basic Amenities Survey, 2019</t>
        </r>
      </text>
    </comment>
    <comment ref="AD80" authorId="0" shapeId="0" xr:uid="{DF8DFDC8-4F7F-4736-8A26-EA791F467DA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K80" authorId="0" shapeId="0" xr:uid="{05AA741E-F7F1-4A4B-B7B8-14C36983FD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N80" authorId="0" shapeId="0" xr:uid="{FC5DB9F9-8755-4284-8340-AE10F96A6CB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D81" authorId="0" shapeId="0" xr:uid="{BEBB8A1A-6D80-4C9E-BB2A-EF480847B15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E81" authorId="1" shapeId="0" xr:uid="{12B7C316-94A1-4B3A-8DCB-88F55411CC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Permanent Household Survey 2010</t>
        </r>
      </text>
    </comment>
    <comment ref="AF81" authorId="0" shapeId="0" xr:uid="{203A7AB6-B3D5-4AC4-9467-FB2AEC51D9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H81" authorId="0" shapeId="0" xr:uid="{41A50CFE-C26E-4283-915F-71B1C790344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I81" authorId="0" shapeId="0" xr:uid="{CCC4E4DB-E047-4506-9FBB-FE884F6D0C0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J81" authorId="0" shapeId="0" xr:uid="{8964FFA0-4094-4E03-9E46-090FA34BE00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K81" authorId="0" shapeId="0" xr:uid="{33D465EF-D443-408A-A152-6C44993F594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L81" authorId="0" shapeId="0" xr:uid="{4CC65392-5A6A-4C91-9E22-EE01EC47D01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M81" authorId="0" shapeId="0" xr:uid="{188FD87A-B7E4-4C82-BF02-56615D9C7A0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N82" authorId="0" shapeId="0" xr:uid="{35044F9C-2DE7-4F36-9C48-551F2F37A41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
</t>
        </r>
      </text>
    </comment>
    <comment ref="AI83" authorId="0" shapeId="0" xr:uid="{8E2BAB2D-C263-4B94-9083-F11BB7EBB3B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Permanente sur les Conditions de Vie des ménages </t>
        </r>
      </text>
    </comment>
    <comment ref="AN83" authorId="0" shapeId="0" xr:uid="{52298E42-B091-4388-9B62-E902ACDAB93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Permanente sur les Conditions de Vie des ménages </t>
        </r>
      </text>
    </comment>
    <comment ref="AD84" authorId="1" shapeId="0" xr:uid="{A1807F58-FEFC-4B7C-BEF6-85AA421766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Continuous Multi-Purpose Household Survey 2013</t>
        </r>
      </text>
    </comment>
    <comment ref="AE84" authorId="1" shapeId="0" xr:uid="{C74EBD8A-FCBC-4DFC-9C2E-6986B929671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Continuous Multi-Purpose Household Survey 2013</t>
        </r>
      </text>
    </comment>
    <comment ref="AF84" authorId="1" shapeId="0" xr:uid="{75EBD763-6533-4F8A-A48F-D4A4E7D9B8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Continuous Multi-Purpose Household Survey 2011</t>
        </r>
      </text>
    </comment>
    <comment ref="AG84" authorId="0" shapeId="0" xr:uid="{43E9FA83-1BA2-46E6-8E3F-F1492DB50C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2012</t>
        </r>
      </text>
    </comment>
    <comment ref="AH84" authorId="1" shapeId="0" xr:uid="{1E749C15-73BA-4D72-A429-06D7D8421C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Continuous Multi-Purpose Household Survey 2013</t>
        </r>
      </text>
    </comment>
    <comment ref="AI84" authorId="1" shapeId="0" xr:uid="{8B5E7907-859F-4B8F-B7BA-CCC03C71C3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http://statsmauritius.govmu.org/English/CensusandSurveys/Pages/default.aspx</t>
        </r>
      </text>
    </comment>
    <comment ref="AJ84" authorId="1" shapeId="0" xr:uid="{1E92734C-8272-42AE-A0D2-31629F00562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http://statsmauritius.govmu.org/English/CensusandSurveys/Pages/default.aspx</t>
        </r>
      </text>
    </comment>
    <comment ref="AK84" authorId="1" shapeId="0" xr:uid="{885245D5-10C2-417F-AEAC-A729BD1436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http://statsmauritius.govmu.org/English/CensusandSurveys/Pages/default.aspx</t>
        </r>
      </text>
    </comment>
    <comment ref="AL84" authorId="0" shapeId="0" xr:uid="{ADFE720C-2A45-43D7-826F-5EAF5D77B75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2017</t>
        </r>
      </text>
    </comment>
    <comment ref="AM84" authorId="1" shapeId="0" xr:uid="{8272E3EE-2DDD-4DAF-B913-BDDC753553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Continuous Multi-Purpose Household Survey 2018</t>
        </r>
      </text>
    </comment>
    <comment ref="AN84" authorId="1" shapeId="0" xr:uid="{B46EFBDF-3C36-41CA-B74A-1DE43118D4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http://nada.statsmauritius.govmu.org/index.php/catalog/93</t>
        </r>
      </text>
    </comment>
    <comment ref="AE85" authorId="0" shapeId="0" xr:uid="{E143C56C-AB04-41EF-8E50-A62828D404F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Ingresos y Gastos de los Hogares 2010 (Tradicional)
</t>
        </r>
      </text>
    </comment>
    <comment ref="AG85" authorId="0" shapeId="0" xr:uid="{DC7D91E5-AE2F-462B-A70D-267365E2951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Ingresos y Gastos de los Hogares 2014</t>
        </r>
      </text>
    </comment>
    <comment ref="AI85" authorId="0" shapeId="0" xr:uid="{CC0D1C29-7E6C-4B12-BDB5-FD2388E611C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Ingresos y Gastos de los Hogares 2014</t>
        </r>
      </text>
    </comment>
    <comment ref="AK85" authorId="0" shapeId="0" xr:uid="{4B57D272-B056-4479-9E71-A878682883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Ingresos y Gastos de los Hogares 2016</t>
        </r>
      </text>
    </comment>
    <comment ref="AL85" authorId="1" shapeId="0" xr:uid="{D8C37555-8C46-4249-ADFA-A9A1F7F3DBF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http://www3.inegi.org.mx/rnm/index.php/catalog/438</t>
        </r>
      </text>
    </comment>
    <comment ref="AM85" authorId="1" shapeId="0" xr:uid="{421BE8F7-18A2-4789-A90B-DE6BBD2683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http://en.www.inegi.org.mx/temas/ingresoshog/default.html#Publicaciones</t>
        </r>
      </text>
    </comment>
    <comment ref="AH86" authorId="0" shapeId="0" xr:uid="{8A3D4E24-92D7-4B68-91D6-30F1DF7DB41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2013</t>
        </r>
      </text>
    </comment>
    <comment ref="AN86" authorId="0" shapeId="0" xr:uid="{25D3E283-11D2-476B-88B0-ABFDA11AEF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U87" authorId="0" shapeId="0" xr:uid="{5ED98F3C-27CB-4085-948D-EF099C0B8D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V87" authorId="0" shapeId="0" xr:uid="{39DA41E3-0B97-4C2E-84F0-A33324ECF78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87" authorId="0" shapeId="0" xr:uid="{8D093553-9E91-4C4E-B218-C3E5099E6A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87" authorId="0" shapeId="0" xr:uid="{30D56CA5-710D-4F79-8463-628F02ACF61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87" authorId="0" shapeId="0" xr:uid="{3DBCB39A-E25C-4776-8126-F36795832EE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87" authorId="0" shapeId="0" xr:uid="{51ABA4A8-B1EC-40E6-8A76-9DC7A6C7A4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87" authorId="0" shapeId="0" xr:uid="{B089B919-1C9F-4180-B016-EC6A1E58D10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B87" authorId="0" shapeId="0" xr:uid="{5B27B7E8-8F6D-43CA-85CE-62FCBD745F9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87" authorId="0" shapeId="0" xr:uid="{8C07C50C-62E1-4F68-A76F-C41393557A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87" authorId="0" shapeId="0" xr:uid="{0D01BAEB-BE69-42AF-BD97-8B89EF0DE73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E87" authorId="0" shapeId="0" xr:uid="{19E8C5C5-0D1C-4206-83B2-56537FB78E9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F87" authorId="0" shapeId="0" xr:uid="{42A96658-4D61-49C6-8095-AD14045ADA0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G87" authorId="0" shapeId="0" xr:uid="{177CEEB3-915D-46F8-9A72-DEC93C6047D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H87" authorId="0" shapeId="0" xr:uid="{78B8D33F-82AB-4389-970B-D364DC17568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I87" authorId="0" shapeId="0" xr:uid="{45ACBFB5-DB04-49DE-9136-E21049A57DF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J87" authorId="0" shapeId="0" xr:uid="{23F85B06-D20B-412D-BA3F-C99D36981F7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K87" authorId="0" shapeId="0" xr:uid="{591DCE3B-9E60-4B48-95F9-322A5BE16F0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L87" authorId="0" shapeId="0" xr:uid="{76ECC378-969C-41B0-BBB9-858413BFC49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N87" authorId="1" shapeId="0" xr:uid="{83F7F13A-8FB0-49BB-9ADE-C52D0544B3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https://statistica.gov.md//newsview.php?l=ro&amp;idc=168&amp;id=6865#idc=429&amp;</t>
        </r>
      </text>
    </comment>
    <comment ref="AE88" authorId="0" shapeId="0" xr:uid="{C2A1449F-9C16-4E23-B86F-842D6FB2033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</t>
        </r>
      </text>
    </comment>
    <comment ref="AF88" authorId="0" shapeId="0" xr:uid="{094BA330-F435-49AE-A170-1154DA1127E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</t>
        </r>
      </text>
    </comment>
    <comment ref="AG88" authorId="0" shapeId="0" xr:uid="{1D825C59-F9BA-4FF4-9B88-A094BF78961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</t>
        </r>
      </text>
    </comment>
    <comment ref="AI88" authorId="0" shapeId="0" xr:uid="{6ECF3CC8-C685-42F9-B83D-20AEAE78F4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</t>
        </r>
      </text>
    </comment>
    <comment ref="AK88" authorId="0" shapeId="0" xr:uid="{270B6D1B-1724-4AB5-81C4-A8936F0746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</t>
        </r>
      </text>
    </comment>
    <comment ref="AL88" authorId="1" shapeId="0" xr:uid="{58D283BC-AEDF-4FFE-9668-901F41C45BA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AM88" authorId="0" shapeId="0" xr:uid="{E36DFAE6-1530-4EFF-ACF3-813387495EF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</t>
        </r>
      </text>
    </comment>
    <comment ref="Z89" authorId="0" shapeId="0" xr:uid="{B516F1B0-CA64-4C75-802B-59A176F813C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A89" authorId="0" shapeId="0" xr:uid="{1BEABAF7-8A53-4D13-8496-3F26E082ED7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B89" authorId="0" shapeId="0" xr:uid="{AC6B81A9-C0AB-4117-98DF-6780CD8A6F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C89" authorId="0" shapeId="0" xr:uid="{93D3C964-772B-4CF6-887A-34F97CE8F97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D89" authorId="0" shapeId="0" xr:uid="{6F4EA1FC-CAE1-470E-93DE-8C2D1D084E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2009</t>
        </r>
      </text>
    </comment>
    <comment ref="AE89" authorId="0" shapeId="0" xr:uid="{180E7B6A-B99F-4B8C-978C-CBD9C1717CE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2010</t>
        </r>
      </text>
    </comment>
    <comment ref="AF89" authorId="0" shapeId="0" xr:uid="{8987A921-BC4C-4D45-8181-4594AA2AE17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2011</t>
        </r>
      </text>
    </comment>
    <comment ref="AG89" authorId="0" shapeId="0" xr:uid="{2AB53F7E-35D0-472C-BDC7-2CF8297FB5F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2012</t>
        </r>
      </text>
    </comment>
    <comment ref="AH89" authorId="0" shapeId="0" xr:uid="{1EF75609-5DAA-47CB-9781-DDA4D0ACB3C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on Income and Living Conditions 2013/Household Budget Survey 2013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I89" authorId="1" shapeId="0" xr:uid="{5D438586-7AF6-443E-A25C-FFF905E7AA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2014</t>
        </r>
      </text>
    </comment>
    <comment ref="AJ89" authorId="1" shapeId="0" xr:uid="{6FD1938D-41BE-4457-A530-82D1CAB5C3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2015</t>
        </r>
      </text>
    </comment>
    <comment ref="AK89" authorId="0" shapeId="0" xr:uid="{866E1950-B25E-4B30-9F0A-B38402FF083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on Income and Living Conditions 2016</t>
        </r>
      </text>
    </comment>
    <comment ref="AL89" authorId="1" shapeId="0" xr:uid="{C587D127-7C86-4349-99F4-6EB5EE8675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http://monstat.org/eng/page.php?id=255&amp;pageid=72</t>
        </r>
      </text>
    </comment>
    <comment ref="AM89" authorId="1" shapeId="0" xr:uid="{553B7FE2-97CB-427A-9F2C-8728DADBC4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https://www.monstat.org/eng/page.php?id=1587&amp;pageid=1531</t>
        </r>
      </text>
    </comment>
    <comment ref="AN89" authorId="1" shapeId="0" xr:uid="{EE960D9D-65FB-42D3-8EE2-B1BC3DF2637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https://www.monstat.org/eng/page.php?id=1587&amp;pageid=1531</t>
        </r>
      </text>
    </comment>
    <comment ref="AD90" authorId="1" shapeId="0" xr:uid="{D8183C1A-0C00-45AD-9592-3CBC9886B4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and Youth Survey 2009-2010</t>
        </r>
      </text>
    </comment>
    <comment ref="AE90" authorId="1" shapeId="0" xr:uid="{0D342EB8-AFB8-4546-9A86-F0F138CA1D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AF90" authorId="1" shapeId="0" xr:uid="{A11FED20-F000-4D12-B72E-D090878069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Panel Survey 2011</t>
        </r>
      </text>
    </comment>
    <comment ref="AH90" authorId="0" shapeId="0" xr:uid="{CBBA3775-1BF7-4E23-AD7B-6932746B801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sur la Consommation et les Dépenses des Ménages 2013-2014</t>
        </r>
      </text>
    </comment>
    <comment ref="AI91" authorId="0" shapeId="0" xr:uid="{23671EEB-7C7F-4E86-A8D4-90BD0D943CA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sobre Orçamento Familiar 2014/2015</t>
        </r>
      </text>
    </comment>
    <comment ref="AN91" authorId="0" shapeId="0" xr:uid="{15235859-8F00-41BE-B9A8-4C9AE917978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sobre o Orçamento Familiar 2019/2020</t>
        </r>
      </text>
    </comment>
    <comment ref="AD92" authorId="1" shapeId="0" xr:uid="{D7DAE1F4-F47B-445A-BE7A-95E78266543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Integrated Household Living Conditions Assessment II 2009-2010</t>
        </r>
      </text>
    </comment>
    <comment ref="AG92" authorId="1" shapeId="0" xr:uid="{A2312389-8042-4DED-9EC3-979ADC97BC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Survey(2012)
http://www.mmsis.gov.mm/sub_menu/statistics/statDbList.jsp?vw_cd=MT_ZTITLE&amp;self_id=195_007</t>
        </r>
      </text>
    </comment>
    <comment ref="AJ92" authorId="1" shapeId="0" xr:uid="{C9EAE803-0A3A-494B-B78B-9E8C5DB3F59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Myanmar Poverty and Living Conditions Survey 2015</t>
        </r>
      </text>
    </comment>
    <comment ref="AL92" authorId="1" shapeId="0" xr:uid="{67EE2BAD-0C5B-49A2-A055-14D2EC9DDA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Myanmar Living Conditions Survey 2017</t>
        </r>
      </text>
    </comment>
    <comment ref="AD93" authorId="0" shapeId="0" xr:uid="{26717C34-F3A3-4476-883F-7BDDF713960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Household Income and Expenditure Survey 2009-2010</t>
        </r>
      </text>
    </comment>
    <comment ref="AJ93" authorId="0" shapeId="0" xr:uid="{B7218CC1-6D4C-4B57-A7A7-5D497D18067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Namibia Household Income and Expenditure Survey, 2015/16</t>
        </r>
      </text>
    </comment>
    <comment ref="AG94" authorId="0" shapeId="0" xr:uid="{6F09EA9E-C9B0-4DED-A884-844DD95D4FB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2012/2013</t>
        </r>
      </text>
    </comment>
    <comment ref="AE95" authorId="0" shapeId="0" xr:uid="{8EF990AC-A815-404D-B677-0E22849CF2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2010-2011, Third Round</t>
        </r>
      </text>
    </comment>
    <comment ref="AF95" authorId="0" shapeId="0" xr:uid="{4A7B1C11-DE54-4878-BEA7-93D9FF8A1AB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Livelihoods, Basic Services, Social Protection and Perceptions of the State in Conflict-affected Situations Household Survey 2012
</t>
        </r>
      </text>
    </comment>
    <comment ref="AG95" authorId="1" shapeId="0" xr:uid="{3CD0BF65-CF06-46DF-B74D-7B017691CD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Household Survey 2013-2014</t>
        </r>
      </text>
    </comment>
    <comment ref="AH95" authorId="1" shapeId="0" xr:uid="{F6C4B1E1-9237-4974-8EF6-08B8FA21E7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Household Survey 2013-2014</t>
        </r>
      </text>
    </comment>
    <comment ref="AI95" authorId="1" shapeId="0" xr:uid="{24B31ABA-E000-4412-8743-477570313BF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Annual Household Survey 2014-2015</t>
        </r>
      </text>
    </comment>
    <comment ref="AJ95" authorId="1" shapeId="0" xr:uid="{48DF7BE3-955C-44A0-B595-1BEE9FA3A22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https://nada.cbs.gov.np/index.php/catalog/85/study-description</t>
        </r>
      </text>
    </comment>
    <comment ref="AN95" authorId="0" shapeId="0" xr:uid="{6E112CCC-EF95-4C59-A49C-FA482EAFB7D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Nepal Living Standard Survey 2019-2020</t>
        </r>
      </text>
    </comment>
    <comment ref="AD96" authorId="0" shapeId="0" xr:uid="{FDFECD57-08CB-422A-A885-D51404CBBC2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 sobre Medición de Niveles de Vida 2009</t>
        </r>
      </text>
    </comment>
    <comment ref="AI96" authorId="0" shapeId="0" xr:uid="{903CEA90-2716-4ED6-AE61-8AEA5D63B52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 sobre Medición de Niveles de Vida 2014</t>
        </r>
      </text>
    </comment>
    <comment ref="AK96" authorId="1" shapeId="0" xr:uid="{9659DEF6-761B-4913-9F25-C9EE6EE852D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https://www.inide.gob.ni/EMNV19/EMNV.html</t>
        </r>
      </text>
    </comment>
    <comment ref="AF97" authorId="0" shapeId="0" xr:uid="{2F504816-35AC-42DC-AB36-4B03AD9C369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sur les Conditions de Vie des Ménages et l'Agriculture</t>
        </r>
      </text>
    </comment>
    <comment ref="AI97" authorId="0" shapeId="0" xr:uid="{EBF5D1DA-6844-42CF-97DF-0E9164BC2F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sur les Conditions de Vie des Ménages et l'Agriculture</t>
        </r>
      </text>
    </comment>
    <comment ref="AM97" authorId="0" shapeId="0" xr:uid="{0680C9AE-EF8A-4C7F-BA19-C7208B530E3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</t>
        </r>
      </text>
    </comment>
    <comment ref="AB98" authorId="1" shapeId="0" xr:uid="{E3843AE7-3EC3-4E3F-B373-A5D7C1FFBF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2007</t>
        </r>
      </text>
    </comment>
    <comment ref="AC98" authorId="1" shapeId="0" xr:uid="{7CD17904-92F3-4537-92CE-BD6ABA3E7BA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2008 </t>
        </r>
      </text>
    </comment>
    <comment ref="AD98" authorId="0" shapeId="0" xr:uid="{2F278AF9-A1D6-4638-A9C6-491F1D54A4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General Household Survey 2009 - IPUMS Subset
</t>
        </r>
      </text>
    </comment>
    <comment ref="AE98" authorId="1" shapeId="0" xr:uid="{C938E497-5F2D-4B35-9572-062126E965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Survey, Panel 2010-2011, Wave 1
</t>
        </r>
      </text>
    </comment>
    <comment ref="AG98" authorId="0" shapeId="0" xr:uid="{320672A4-3DD0-4399-9245-F64E1181B8A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General Household Survey, Panel 2012-2013, Wave 2
</t>
        </r>
      </text>
    </comment>
    <comment ref="AJ98" authorId="1" shapeId="0" xr:uid="{8AF1B4AF-DBDC-420D-B70F-DABE6BDCBB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Survey, Panel 2015-2016, Wave 3</t>
        </r>
      </text>
    </comment>
    <comment ref="AM98" authorId="0" shapeId="0" xr:uid="{C7D8F678-3DC2-4982-A6F0-7C124D6C4A4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General Household Survey, Panel 2018-2019, Wave 4
</t>
        </r>
      </text>
    </comment>
    <comment ref="AC99" authorId="1" shapeId="0" xr:uid="{3CD6F432-E86C-4092-96F9-485D49D00F8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http://www.pbs.gov.pk/content/pakistan-social-and-living-standards-measurement</t>
        </r>
      </text>
    </comment>
    <comment ref="AE99" authorId="0" shapeId="0" xr:uid="{B6968769-4AD4-4AF0-8766-9325277130D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Social and Living Standards Measurement Survey 2010-2011</t>
        </r>
      </text>
    </comment>
    <comment ref="AF99" authorId="0" shapeId="0" xr:uid="{3CC52598-AB4D-486B-9103-144EA900BC1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Social and Living Standards Measurement Survey 2011-2012, Round 7</t>
        </r>
      </text>
    </comment>
    <comment ref="AG99" authorId="1" shapeId="0" xr:uid="{2CDE7ADE-696D-4C21-A5FB-D93A2E9E6E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http://www.pbs.gov.pk/content/pakistan-social-and-living-standards-measurement-survey-pslm-2012-13-provincial-district</t>
        </r>
      </text>
    </comment>
    <comment ref="AH99" authorId="0" shapeId="0" xr:uid="{FFB62496-69FA-492E-9D16-6A33F526E63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Social and Living Standards Measurement Survey 2013-2014</t>
        </r>
      </text>
    </comment>
    <comment ref="AI99" authorId="1" shapeId="0" xr:uid="{0B28291B-426C-4D1B-8F46-73EB6424FA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http://www.pbs.gov.pk/content/pakistan-social-and-living-standards-measurement</t>
        </r>
      </text>
    </comment>
    <comment ref="AJ99" authorId="0" shapeId="0" xr:uid="{51928539-C187-4CD7-B7D4-61159809F9E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Pakistan Social and Living Standards Measurement</t>
        </r>
      </text>
    </comment>
    <comment ref="AM99" authorId="1" shapeId="0" xr:uid="{6F727130-1C2C-4648-9E63-40BACFD46C6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Pakistan Social and Living Standards Measurement</t>
        </r>
      </text>
    </comment>
    <comment ref="AH100" authorId="0" shapeId="0" xr:uid="{A9A348F0-3A89-4E38-A5F3-C557E1A82E6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U101" authorId="1" shapeId="0" xr:uid="{60B74708-49EB-42E8-A5A2-943C2DD8E9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V101" authorId="1" shapeId="0" xr:uid="{31159F76-6AF0-4910-98CE-112320A685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W101" authorId="1" shapeId="0" xr:uid="{F3ECA81A-AD41-43D4-B333-10E95C2E6BF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X101" authorId="1" shapeId="0" xr:uid="{5B566AE3-79EE-4F11-9DFA-E5B5F837B0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Y101" authorId="1" shapeId="0" xr:uid="{8F15CBAC-1588-40DB-9DCB-26A7162792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Z101" authorId="1" shapeId="0" xr:uid="{5E46F0CB-034C-4C7E-BD04-9665DAFB12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A101" authorId="1" shapeId="0" xr:uid="{EE2C3EEB-6E16-4AB5-A3B2-6D81C9D3EF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B101" authorId="1" shapeId="0" xr:uid="{85404694-5FD2-4107-A4BC-E5FFA565183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C101" authorId="1" shapeId="0" xr:uid="{6FB80966-CE6E-45A5-8750-29305C4D2D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de Hogares</t>
        </r>
      </text>
    </comment>
    <comment ref="AD101" authorId="0" shapeId="0" xr:uid="{08229635-6A03-47CA-96CE-50088827617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E101" authorId="1" shapeId="0" xr:uid="{CE845B39-5461-4E4C-BB47-BFB8997716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de Mercado Laboral 2010</t>
        </r>
      </text>
    </comment>
    <comment ref="AF101" authorId="0" shapeId="0" xr:uid="{E75D5592-AFED-469F-85D5-ECC916547AC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G101" authorId="0" shapeId="0" xr:uid="{9B3ECE61-A1FB-41D6-B4DB-08778E8984D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H101" authorId="0" shapeId="0" xr:uid="{2AA02A40-015D-42E8-BBEC-D10910EA8D8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I101" authorId="0" shapeId="0" xr:uid="{2476848A-454B-44A4-A69D-2C2EB5EF02E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J101" authorId="0" shapeId="0" xr:uid="{D63074F2-3C15-4CC4-96EC-54A13EDFFD2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K101" authorId="0" shapeId="0" xr:uid="{9A6A1EFD-7644-4FC6-8554-E9D919F022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L101" authorId="0" shapeId="0" xr:uid="{898F978F-B040-410B-99C6-EAEEF105891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M101" authorId="0" shapeId="0" xr:uid="{46A26B98-ECB5-4CEF-AEE1-6BFC51C107E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de Mercado Laboral</t>
        </r>
      </text>
    </comment>
    <comment ref="AD102" authorId="0" shapeId="0" xr:uid="{D04D60CA-BE3B-4B3D-B790-B2BB242268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F102" authorId="1" shapeId="0" xr:uid="{063B62FC-9634-4A33-996B-B72640CB4B9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W103" authorId="0" shapeId="0" xr:uid="{19A16305-A879-42DC-9AF4-2E7911F97DA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X103" authorId="0" shapeId="0" xr:uid="{C41CACC3-1D77-4FE2-93C4-D8606806826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Y103" authorId="0" shapeId="0" xr:uid="{988F3759-C054-40F2-A5B7-06A70C611A6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Z103" authorId="0" shapeId="0" xr:uid="{1BB4DB7D-1D85-4B6B-A320-C05F727E8E7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A103" authorId="0" shapeId="0" xr:uid="{0FD96FA9-1FF9-4684-9E3E-FB4968F870F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B103" authorId="0" shapeId="0" xr:uid="{641132A5-D7D3-4730-AF6B-1BB0CE3E58D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C103" authorId="0" shapeId="0" xr:uid="{44EF5642-E015-4D51-8781-C2FF8DC0A4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D103" authorId="0" shapeId="0" xr:uid="{CA2A42E1-FB09-45FE-B38B-48003A2F540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E103" authorId="0" shapeId="0" xr:uid="{F6AD3E99-2646-4975-9726-E4F61419463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F103" authorId="0" shapeId="0" xr:uid="{2A0BBA55-B871-46D6-940C-8CC42397666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G103" authorId="0" shapeId="0" xr:uid="{1C18F897-9C87-4366-9BB2-FDB44A4E46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H103" authorId="0" shapeId="0" xr:uid="{7BC72D5C-A85E-495B-A4EB-EAA882C0737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I103" authorId="0" shapeId="0" xr:uid="{153B8CC5-EBC9-49F2-B419-7F668BDF4C4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J103" authorId="0" shapeId="0" xr:uid="{CDC593D9-DC19-4A68-B4C8-D3E2EA0D20D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K103" authorId="0" shapeId="0" xr:uid="{51D3E9C4-F46F-41F7-97C5-12C2884AEB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L103" authorId="0" shapeId="0" xr:uid="{9AE5EE1D-EF02-43A0-ACB2-97B5D05B30E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Permanente de Hogares</t>
        </r>
      </text>
    </comment>
    <comment ref="AM103" authorId="1" shapeId="0" xr:uid="{C3A44B6F-BE06-471C-9BD6-811759845E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Permanente de Hogares Continua 2018</t>
        </r>
      </text>
    </comment>
    <comment ref="AN103" authorId="1" shapeId="0" xr:uid="{9C3F9FEC-8D0D-43B0-BB1F-E3B2707414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Permanente de Hogares Contínua- EPHC 2019
https://www.dgeec.gov.py/microdatos/microdatos.php</t>
        </r>
      </text>
    </comment>
    <comment ref="U104" authorId="0" shapeId="0" xr:uid="{D7BF50C6-5F0E-4BFB-990D-41BB5B3E30B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V104" authorId="0" shapeId="0" xr:uid="{F5358C15-7FC8-4117-BFD2-8461106EF4E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W104" authorId="0" shapeId="0" xr:uid="{1BAFA876-CD56-4F19-8561-F6020B8B2CA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X104" authorId="0" shapeId="0" xr:uid="{A20F74F0-241B-47E3-8A1F-3EFA40C8E8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Y104" authorId="0" shapeId="0" xr:uid="{1F67AFCF-EB6C-4F80-92AB-8492A937C81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Z104" authorId="0" shapeId="0" xr:uid="{35664B43-39D9-416D-A9E3-C0BDF7F4F64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A104" authorId="0" shapeId="0" xr:uid="{13A2DC64-64D4-4C0F-9816-34DD86CE8FB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B104" authorId="0" shapeId="0" xr:uid="{AF9797D9-002B-49F3-96E6-6D60A7E64B5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C104" authorId="0" shapeId="0" xr:uid="{9326C768-31FD-428B-B7E8-E0EEB4D34A6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D104" authorId="0" shapeId="0" xr:uid="{3937C750-2D4B-4E91-B4F6-A76AD9B8E6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E104" authorId="0" shapeId="0" xr:uid="{0945EA66-4B46-4EDF-85B6-C5C16E73F31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F104" authorId="0" shapeId="0" xr:uid="{B8F0B4C9-7AF3-4B48-B447-2A5A9CD36C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G104" authorId="0" shapeId="0" xr:uid="{FE91D69B-D29D-4D05-BEBF-965EE6622F7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H104" authorId="0" shapeId="0" xr:uid="{164D1F4D-8748-4EA1-B1A7-786F1CE0D79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I104" authorId="0" shapeId="0" xr:uid="{3B64049B-BAAE-41AF-8424-E44C929E6F8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J104" authorId="0" shapeId="0" xr:uid="{31706BF6-5DF2-43C7-BCC8-98F3D5D04C1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K104" authorId="0" shapeId="0" xr:uid="{571BFB86-E0D6-468F-A533-A57722D69A6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L104" authorId="0" shapeId="0" xr:uid="{1D7CD609-2D7F-416E-BBBE-05853E00E45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M104" authorId="0" shapeId="0" xr:uid="{DDDD4A61-752E-4ECD-93B9-826379B786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Nacional de Hogares</t>
        </r>
      </text>
    </comment>
    <comment ref="AD105" authorId="0" shapeId="0" xr:uid="{8020FE01-E1D1-4A62-9F35-BE8E64F41F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Family Income and Expenditure Survey</t>
        </r>
      </text>
    </comment>
    <comment ref="AE105" authorId="1" shapeId="0" xr:uid="{D68D7C96-C765-4EC8-BA75-D071F7AD54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05" authorId="1" shapeId="0" xr:uid="{AC5BFCB7-C430-4A7B-977D-CFBBB3373EB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https://psa.gov.ph/content/annual-poverty-indicators-survey-apis</t>
        </r>
      </text>
    </comment>
    <comment ref="AG105" authorId="0" shapeId="0" xr:uid="{21A77683-FD87-4E63-AA07-5A4156DBA65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Family Income and Expenditure Survey</t>
        </r>
      </text>
    </comment>
    <comment ref="AH105" authorId="1" shapeId="0" xr:uid="{DBA3CE68-7907-44B4-A558-D1106DE0F73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https://psa.gov.ph/content/annual-poverty-indicators-survey-apis</t>
        </r>
      </text>
    </comment>
    <comment ref="AI105" authorId="1" shapeId="0" xr:uid="{EBBE3DF5-FD84-4A1E-AA52-010F5198D0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https://psa.gov.ph/content/annual-poverty-indicators-survey-apis</t>
        </r>
      </text>
    </comment>
    <comment ref="AJ105" authorId="0" shapeId="0" xr:uid="{4E0E47CF-AB05-4FFF-9E45-44C1286E166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Family Income and Expenditure Survey</t>
        </r>
      </text>
    </comment>
    <comment ref="AK105" authorId="1" shapeId="0" xr:uid="{4D1898CD-7546-4B24-AF1B-7C9C03AD86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https://psa.gov.ph/content/annual-poverty-indicators-survey-apis</t>
        </r>
      </text>
    </comment>
    <comment ref="AL105" authorId="1" shapeId="0" xr:uid="{8BDD9252-F140-419C-8D87-47F07AA5CD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https://psa.gov.ph/content/annual-poverty-indicators-survey-apis</t>
        </r>
      </text>
    </comment>
    <comment ref="AM105" authorId="0" shapeId="0" xr:uid="{7EC30A25-1A92-4C77-B7EB-409981A439D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Family Income and Expenditure Survey</t>
        </r>
      </text>
    </comment>
    <comment ref="AN105" authorId="1" shapeId="0" xr:uid="{590927BD-2D86-4F13-902A-EAEB5B9C352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https://psa.gov.ph/content/annual-poverty-indicators-survey-apis</t>
        </r>
      </text>
    </comment>
    <comment ref="U106" authorId="1" shapeId="0" xr:uid="{893509E6-D61D-4084-9296-0743DA7321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V106" authorId="1" shapeId="0" xr:uid="{2A3FEB8F-A512-445D-9953-A365E152FC9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106" authorId="1" shapeId="0" xr:uid="{AE5DE127-EFA9-4260-94B7-D6A46F55E6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106" authorId="1" shapeId="0" xr:uid="{992EA482-76AA-4963-AE28-25C1F4DDCBE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06" authorId="1" shapeId="0" xr:uid="{F6DF667D-39A7-4267-A238-BF1227D2387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106" authorId="1" shapeId="0" xr:uid="{10DB9E21-3FDC-4064-AB58-9388164433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106" authorId="1" shapeId="0" xr:uid="{95681DC7-BE29-4FD2-AB17-4E7EF3778D3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 </t>
        </r>
      </text>
    </comment>
    <comment ref="AB106" authorId="1" shapeId="0" xr:uid="{A6D956B4-B9B1-4E8C-A5A4-C30B527DB43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 </t>
        </r>
      </text>
    </comment>
    <comment ref="AC106" authorId="1" shapeId="0" xr:uid="{330F4D07-90E2-4081-851C-A9B21BDBEBD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 </t>
        </r>
      </text>
    </comment>
    <comment ref="AD106" authorId="1" shapeId="0" xr:uid="{3D203E4C-49AC-46F4-ABFD-D5A190B76A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 2009</t>
        </r>
      </text>
    </comment>
    <comment ref="AE106" authorId="1" shapeId="0" xr:uid="{36755423-7D54-43B0-BEAB-E74C5E7499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2010</t>
        </r>
      </text>
    </comment>
    <comment ref="AF106" authorId="1" shapeId="0" xr:uid="{DC355945-8740-4B67-9630-39E8D4EE19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2011</t>
        </r>
      </text>
    </comment>
    <comment ref="AG106" authorId="1" shapeId="0" xr:uid="{A65DD1D7-2F01-46C2-B5E6-606669DDEF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 2012</t>
        </r>
      </text>
    </comment>
    <comment ref="AH106" authorId="1" shapeId="0" xr:uid="{B893EE95-520B-4918-BDEC-FA4A46C3351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 2013</t>
        </r>
      </text>
    </comment>
    <comment ref="AI106" authorId="1" shapeId="0" xr:uid="{4ADC2BE2-D3BE-465A-9032-D53CA7A520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 2014</t>
        </r>
      </text>
    </comment>
    <comment ref="AJ106" authorId="1" shapeId="0" xr:uid="{3E00D36F-61D3-4B08-A23B-04C8C842CF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 /Household Budget Survey</t>
        </r>
      </text>
    </comment>
    <comment ref="AK106" authorId="1" shapeId="0" xr:uid="{7CC0B3E2-5B2F-4FBD-B86D-0BF7537970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</t>
        </r>
      </text>
    </comment>
    <comment ref="AL106" authorId="1" shapeId="0" xr:uid="{F9093D3E-E916-4EC2-A09E-7A77B41C02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on Income and Living Conditions</t>
        </r>
      </text>
    </comment>
    <comment ref="AM106" authorId="1" shapeId="0" xr:uid="{B0C526F4-302C-40D7-8010-F6794A7AE5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living-conditions/living-conditions/incomes-and-living-conditions-of-the-population-in-poland-report-from-the-eu-silc-survey-of-2018,1,11.html/https://stat.gov.pl/en/topics/living-conditions/living-conditions/household-budget-survey-in-2018,2,13.html</t>
        </r>
      </text>
    </comment>
    <comment ref="AN106" authorId="1" shapeId="0" xr:uid="{095E5F6F-B9F8-4105-A5B2-9196F19DA5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https://ec.europa.eu/eurostat/documents/203647/771732/Datasets-availability-table.pdf</t>
        </r>
      </text>
    </comment>
    <comment ref="AD107" authorId="0" shapeId="0" xr:uid="{73D4CC63-B705-4511-8AF7-3406BFCABCE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E107" authorId="0" shapeId="0" xr:uid="{A3270626-0AC0-4278-87AA-585D464F075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F107" authorId="0" shapeId="0" xr:uid="{5997B3CC-366C-4846-914C-5EE6BBEAE7B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G107" authorId="0" shapeId="0" xr:uid="{CB04A68A-BE91-487C-98EA-0FB26AB8643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H107" authorId="0" shapeId="0" xr:uid="{E22F42AA-6DB8-477B-A439-C25F1045D1F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I107" authorId="0" shapeId="0" xr:uid="{4A81D5E1-21CC-474D-A661-6FBDC8414EE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J107" authorId="0" shapeId="0" xr:uid="{6999F74A-CFA3-4BF5-A0BE-84CDDD24DF3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K107" authorId="0" shapeId="0" xr:uid="{72C6EE65-C3EF-4FE5-AD5E-42157C46A0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</t>
        </r>
      </text>
    </comment>
    <comment ref="AL107" authorId="0" shapeId="0" xr:uid="{17635C04-196F-46EF-A0E5-D4A414FCE1D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Romania, European Union  Statistics on Income and Living Conditions 2017</t>
        </r>
      </text>
    </comment>
    <comment ref="AM107" authorId="1" shapeId="0" xr:uid="{626E4917-24B1-4141-AA6B-E670BC0D75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https://ec.europa.eu/eurostat/documents/203647/771732/Datasets-availability-table.pdf</t>
        </r>
      </text>
    </comment>
    <comment ref="AN107" authorId="1" shapeId="0" xr:uid="{F8880AEC-9EC6-4B51-BC9B-C2DEF9E72B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https://ec.europa.eu/eurostat/documents/203647/771732/Datasets-availability-table.pdf</t>
        </r>
      </text>
    </comment>
    <comment ref="U108" authorId="1" shapeId="0" xr:uid="{EB3AE870-9517-4B8F-AD3D-AB4E3B6641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108" authorId="1" shapeId="0" xr:uid="{8593768C-4B12-4EBF-8024-C6227D779D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108" authorId="1" shapeId="0" xr:uid="{E938512A-4FFE-48D0-BCEC-409DA33B2C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08" authorId="1" shapeId="0" xr:uid="{670F263E-E033-47E0-A7A1-15AA091D4BC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108" authorId="1" shapeId="0" xr:uid="{383B54BC-180A-4D3B-A10D-44BE3894F38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108" authorId="1" shapeId="0" xr:uid="{C5B1873B-4AC3-4913-BC88-B17D080F5B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B108" authorId="1" shapeId="0" xr:uid="{97B3FC56-5139-4E96-A70C-68AA4E533BC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108" authorId="1" shapeId="0" xr:uid="{AA3C9E80-4D17-4A80-A0D4-6F05B924DF3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108" authorId="0" shapeId="0" xr:uid="{9A2CE048-8626-458A-9018-0956B5856EA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2009</t>
        </r>
      </text>
    </comment>
    <comment ref="AE108" authorId="0" shapeId="0" xr:uid="{905A586E-0775-4730-8FE7-AE336340AB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2010</t>
        </r>
      </text>
    </comment>
    <comment ref="AF108" authorId="0" shapeId="0" xr:uid="{FED73631-4128-491B-A407-E6CAE391AA1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2011</t>
        </r>
      </text>
    </comment>
    <comment ref="AG108" authorId="0" shapeId="0" xr:uid="{4F95D8A8-162E-4D05-9DE0-75EBF7D4BB2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2012</t>
        </r>
      </text>
    </comment>
    <comment ref="AH108" authorId="0" shapeId="0" xr:uid="{B3C6E019-AC20-43A5-8B5B-9CF4821119A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2013</t>
        </r>
      </text>
    </comment>
    <comment ref="AI108" authorId="0" shapeId="0" xr:uid="{4748BD5A-7D78-4264-A8AE-1280CD10C68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2014</t>
        </r>
      </text>
    </comment>
    <comment ref="AJ108" authorId="0" shapeId="0" xr:uid="{39835E09-E5D4-415D-91ED-6796EF0A41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2015</t>
        </r>
      </text>
    </comment>
    <comment ref="AE109" authorId="0" shapeId="0" xr:uid="{6BC65629-88E4-415A-A970-C0057450D6C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Living Conditions Survey 2010-2011</t>
        </r>
      </text>
    </comment>
    <comment ref="AH109" authorId="0" shapeId="0" xr:uid="{AEE7FD24-03EF-436C-9921-71A79E163B1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Living Conditions Survey </t>
        </r>
      </text>
    </comment>
    <comment ref="AK109" authorId="0" shapeId="0" xr:uid="{EEBF0BFD-5504-492D-AA31-142545A0B4F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Living Conditions Survey 2016-2017</t>
        </r>
      </text>
    </comment>
    <comment ref="AH110" authorId="1" shapeId="0" xr:uid="{39283B81-962B-4E35-B093-3BD7BFE735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 2013/2014</t>
        </r>
      </text>
    </comment>
    <comment ref="AN110" authorId="0" shapeId="0" xr:uid="{A1E9A3A7-27F3-4793-906A-A4A1C152075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E111" authorId="0" shapeId="0" xr:uid="{B3456BC4-A221-464F-88D7-1DCCBD00725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Orçamento Familiar 2010</t>
        </r>
      </text>
    </comment>
    <comment ref="AL111" authorId="0" shapeId="0" xr:uid="{811040B7-BA15-4386-859E-176211F28D7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Inquérito aos Orçamentos Familiares 2017</t>
        </r>
      </text>
    </comment>
    <comment ref="AD112" authorId="0" shapeId="0" xr:uid="{36016718-A1CC-40B3-BCA5-7C190F4444D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Migration and Remittances Household Survey 2009
</t>
        </r>
      </text>
    </comment>
    <comment ref="AF112" authorId="0" shapeId="0" xr:uid="{82FE445B-D4AB-407F-BA7B-FDB30F7CDC4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de Suivi de la Pauvreté au Sénégal 2011</t>
        </r>
      </text>
    </comment>
    <comment ref="AM112" authorId="0" shapeId="0" xr:uid="{B87CCACA-51D9-4F21-9272-350B03921DB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 2018</t>
        </r>
      </text>
    </comment>
    <comment ref="X113" authorId="1" shapeId="0" xr:uid="{2CBF47FE-E3A3-46B9-80A4-71129B4245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13" authorId="1" shapeId="0" xr:uid="{59690836-6DEF-4F10-8100-58FAF3BE51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113" authorId="1" shapeId="0" xr:uid="{401A6BDD-8866-4F3B-9F1C-40CDF7EDAF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113" authorId="1" shapeId="0" xr:uid="{89618BD1-DB43-4BCF-A4B1-B168CDAD85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B113" authorId="1" shapeId="0" xr:uid="{4649C6E2-C168-46BC-900E-01C5666FD9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113" authorId="1" shapeId="0" xr:uid="{19DA24CC-865A-408A-9071-4FD271B0F79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113" authorId="0" shapeId="0" xr:uid="{07111AC1-68E7-430C-933A-755FBFD0A0A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2009</t>
        </r>
      </text>
    </comment>
    <comment ref="AE113" authorId="0" shapeId="0" xr:uid="{E9976903-6A36-4412-BC4F-8EA6A3E0B0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2010</t>
        </r>
      </text>
    </comment>
    <comment ref="AH113" authorId="0" shapeId="0" xr:uid="{733D3E82-793B-41FD-8AC4-985027AA7C8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2013/Survey on Income and Living Conditions 2013</t>
        </r>
      </text>
    </comment>
    <comment ref="AI113" authorId="1" shapeId="0" xr:uid="{5B5B71FE-72BE-4FF9-B045-86BCA8E85ED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2014</t>
        </r>
      </text>
    </comment>
    <comment ref="AJ113" authorId="0" shapeId="0" xr:uid="{E0D12903-6920-496E-9D6D-57E2407683C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on Income and Living Conditions</t>
        </r>
      </text>
    </comment>
    <comment ref="AK113" authorId="0" shapeId="0" xr:uid="{F0389B99-5F17-44B3-B955-5B61E5E3046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on Income and Living Conditions</t>
        </r>
      </text>
    </comment>
    <comment ref="AL113" authorId="0" shapeId="0" xr:uid="{C8554646-07F4-4BC8-B230-5E5FB3D44EB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on Income and Living Conditions 2017/https://www.stat.gov.rs/en-us/publikacije/publication/?p=11560</t>
        </r>
      </text>
    </comment>
    <comment ref="AM113" authorId="1" shapeId="0" xr:uid="{E78D00BE-A100-4FAE-9C92-AE9E78D95A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https://www.stat.gov.rs/en-us/publikacije/publication/?p=12154
https://publikacije.stat.gov.rs/G2019/PdfE/G20191281.pdf</t>
        </r>
      </text>
    </comment>
    <comment ref="AN113" authorId="1" shapeId="0" xr:uid="{906D1476-066D-4249-A4C3-CE04D9B7347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https://www.stat.gov.rs/en-us/oblasti/potrosnja-prihodi-i-uslovi-zivota/</t>
        </r>
      </text>
    </comment>
    <comment ref="AH114" authorId="0" shapeId="0" xr:uid="{3F14E771-3CD7-477D-809B-298ED20E6CB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2013</t>
        </r>
      </text>
    </comment>
    <comment ref="AF115" authorId="0" shapeId="0" xr:uid="{5905805B-B8B4-44DA-A81B-0229465C25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Integrated Household Survey 2011</t>
        </r>
      </text>
    </comment>
    <comment ref="AM115" authorId="0" shapeId="0" xr:uid="{80A0E98C-8F0F-4E5C-9B3B-A3E1A0C24A2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Sierra Leone Integrated Household Survey 2018</t>
        </r>
      </text>
    </comment>
    <comment ref="AG116" authorId="0" shapeId="0" xr:uid="{228E662A-C265-46EB-919E-64370F4DBA6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2012-2013</t>
        </r>
      </text>
    </comment>
    <comment ref="Z118" authorId="1" shapeId="0" xr:uid="{A793A855-43F9-489C-8286-4302E1DF8FC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Expenditure Survey/General Household Survey </t>
        </r>
      </text>
    </comment>
    <comment ref="AC118" authorId="1" shapeId="0" xr:uid="{82398BFB-19E2-4B4F-A0BF-D108860F4A7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condition survey/general household survey</t>
        </r>
      </text>
    </comment>
    <comment ref="AD118" authorId="1" shapeId="0" xr:uid="{8A1BE9EB-11D8-4C69-A404-C08D811027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2009</t>
        </r>
      </text>
    </comment>
    <comment ref="AE118" authorId="0" shapeId="0" xr:uid="{19EB78C0-AFBC-47D7-9FD1-965B7E1D72C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General Household Survey 2010/Income and Expenditure Survey 2010-2011/National Income Dynamics Study 2010-2011
</t>
        </r>
      </text>
    </comment>
    <comment ref="AF118" authorId="1" shapeId="0" xr:uid="{C791472B-1FE4-4A78-99B7-E48F1F1EC4E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2011</t>
        </r>
      </text>
    </comment>
    <comment ref="AG118" authorId="0" shapeId="0" xr:uid="{D05EB218-361E-4DF1-AB2D-FA6065FD59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Income Dynamics Study 2012/ General Household Survey 2012
</t>
        </r>
      </text>
    </comment>
    <comment ref="AH118" authorId="1" shapeId="0" xr:uid="{8BB3DDD1-65D7-4AC7-A872-ACCF39B489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2013</t>
        </r>
      </text>
    </comment>
    <comment ref="AI118" authorId="0" shapeId="0" xr:uid="{11A185DB-CBAE-4DBE-8DEC-4BBBC3DD141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Income Dynamics Study 2014-2015/Living Conditions Survey 2014-2015/General Household Survey 2014
</t>
        </r>
      </text>
    </comment>
    <comment ref="AJ118" authorId="1" shapeId="0" xr:uid="{F900E618-AAD8-446E-83E9-BA66A7B932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2015</t>
        </r>
      </text>
    </comment>
    <comment ref="AK118" authorId="1" shapeId="0" xr:uid="{5695DE7D-0FEC-4A95-9224-509245B851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2016</t>
        </r>
      </text>
    </comment>
    <comment ref="AL118" authorId="1" shapeId="0" xr:uid="{C8A0F531-3BB2-446B-B803-9C84290ACE7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2017</t>
        </r>
      </text>
    </comment>
    <comment ref="AM118" authorId="1" shapeId="0" xr:uid="{71EFF4AA-4508-49CD-825E-B4FAAB56C6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General Household Survey 2018</t>
        </r>
      </text>
    </comment>
    <comment ref="AN118" authorId="0" shapeId="0" xr:uid="{81158DF2-48D1-4F41-B616-537AB1BFB9E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Quarterly Labour Force Survey 2019, Quarter 1</t>
        </r>
      </text>
    </comment>
    <comment ref="AD119" authorId="0" shapeId="0" xr:uid="{EB58D067-3536-47DA-951F-9B39805535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Baseline Household Survey 2009, First Round</t>
        </r>
      </text>
    </comment>
    <comment ref="AD120" authorId="1" shapeId="0" xr:uid="{7045796C-02A6-4B5F-AD68-C51E717E88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 2009-2010</t>
        </r>
      </text>
    </comment>
    <comment ref="AG120" authorId="1" shapeId="0" xr:uid="{DC96D2B5-7EB1-4926-9131-E9E45B9797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 2012-2013</t>
        </r>
      </text>
    </comment>
    <comment ref="AK120" authorId="0" shapeId="0" xr:uid="{5782FAF8-8D29-4FB4-B728-F32E6593F59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2016</t>
        </r>
      </text>
    </comment>
    <comment ref="AL121" authorId="0" shapeId="0" xr:uid="{17DDCA3D-97AC-4CE0-AD98-233F3FFD34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Budgetary Survey 2017</t>
        </r>
      </text>
    </comment>
    <comment ref="AJ122" authorId="0" shapeId="0" xr:uid="{D9920CCD-B74E-4B05-850E-274D63792D7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Budgets 2015-2016</t>
        </r>
      </text>
    </comment>
    <comment ref="AM123" authorId="0" shapeId="0" xr:uid="{7B63BBFF-1E2F-440D-B4E7-B1A4FA7D876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Conditions and Household Budgets (SLC-HBS) 2018-19</t>
        </r>
      </text>
    </comment>
    <comment ref="AD124" authorId="0" shapeId="0" xr:uid="{16D908E4-E2F1-4190-A13B-356C0FFE46C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Baseline Household Survey 2009</t>
        </r>
      </text>
    </comment>
    <comment ref="AI124" authorId="0" shapeId="0" xr:uid="{CAC6CF72-119C-487B-87FD-60A4D9A4BC0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Household Budget and Poverty Survey</t>
        </r>
      </text>
    </comment>
    <comment ref="AH125" authorId="1" shapeId="0" xr:uid="{08B3D6ED-875E-466E-B852-383DAF79AA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https://statistics-suriname.org/en/household-budget-survey/</t>
        </r>
      </text>
    </comment>
    <comment ref="AK125" authorId="0" shapeId="0" xr:uid="{85206DBE-37A2-4044-A774-B1473437A58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Suriname Survey of Living Conditions (SSLC) 2016/17</t>
        </r>
      </text>
    </comment>
    <comment ref="AD126" authorId="1" shapeId="0" xr:uid="{A35AC2B6-979A-4A8C-9CDB-FF822BDCC3D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AD127" authorId="0" shapeId="0" xr:uid="{D53E391F-A689-4CB6-90A8-404B2781B6D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Standards Survey 2009</t>
        </r>
      </text>
    </comment>
    <comment ref="AE127" authorId="1" shapeId="0" xr:uid="{F9F06AE3-8024-4427-BE56-B10AAD8AD2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2010</t>
        </r>
      </text>
    </comment>
    <comment ref="AG127" authorId="0" shapeId="0" xr:uid="{F05D0499-6853-4482-8489-86121AC47CB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H127" authorId="0" shapeId="0" xr:uid="{F928FEA2-1D22-42D8-9D25-EC92FA72819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I127" authorId="0" shapeId="0" xr:uid="{D96F0ED3-0851-4724-B98C-66BD3D9079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J127" authorId="0" shapeId="0" xr:uid="{8190E3C8-057D-42DA-82C7-17DF5AA26E4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AK127" authorId="0" shapeId="0" xr:uid="{5119B396-A34C-47E7-980C-277D57D2578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2016</t>
        </r>
      </text>
    </comment>
    <comment ref="AL127" authorId="0" shapeId="0" xr:uid="{2F8A9C4A-A448-4364-9180-F382149F8C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2017</t>
        </r>
      </text>
    </comment>
    <comment ref="AB128" authorId="1" shapeId="0" xr:uid="{6F34AB8F-B787-407F-9DCB-D7FD488F787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https://www.nbs.go.tz/tnada/index.php/catalog/25</t>
        </r>
      </text>
    </comment>
    <comment ref="AC128" authorId="1" shapeId="0" xr:uid="{D2AAEB29-FD4D-4487-87E7-607ECFCAE9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National Panel Survey 2008-2009</t>
        </r>
      </text>
    </comment>
    <comment ref="AE128" authorId="0" shapeId="0" xr:uid="{D16EB0F8-759C-44B6-8434-80EECE4D708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2010-2011
</t>
        </r>
      </text>
    </comment>
    <comment ref="AF128" authorId="0" shapeId="0" xr:uid="{19F0FA0B-BEBD-4F17-8C13-747C75539FA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2011-2012</t>
        </r>
      </text>
    </comment>
    <comment ref="AG128" authorId="0" shapeId="0" xr:uid="{E71BF87C-F448-4A76-977F-54F5E58D63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2012-2013
</t>
        </r>
      </text>
    </comment>
    <comment ref="AI128" authorId="0" shapeId="0" xr:uid="{2D2D1D4C-F5A3-42C3-9950-989B94DD060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2014-2015, Wave 4
</t>
        </r>
      </text>
    </comment>
    <comment ref="AL128" authorId="0" shapeId="0" xr:uid="{28B495CF-C3BE-4CF8-B3FC-F0DC4E6EC4C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Tanzania 2017/18 Household Budget Survey</t>
        </r>
      </text>
    </comment>
    <comment ref="AD129" authorId="0" shapeId="0" xr:uid="{341C8F7B-EF7B-4C38-8E2E-E6A43CDE35C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2009</t>
        </r>
      </text>
    </comment>
    <comment ref="AE129" authorId="0" shapeId="0" xr:uid="{251A7265-A454-4840-8043-C725B38F0EC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and Village/Community Fund Survey 2010</t>
        </r>
      </text>
    </comment>
    <comment ref="AF129" authorId="0" shapeId="0" xr:uid="{4EBCEC23-D629-48B6-99E5-B04F53EF50F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2011</t>
        </r>
      </text>
    </comment>
    <comment ref="AG129" authorId="0" shapeId="0" xr:uid="{3A75ADBD-06BE-4DDB-90C6-7EC272B9076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2012</t>
        </r>
      </text>
    </comment>
    <comment ref="AH129" authorId="0" shapeId="0" xr:uid="{14A4C9DB-72C7-48E6-8911-FDEFF50F1B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Socio-Economic Survey 2013</t>
        </r>
      </text>
    </comment>
    <comment ref="AI129" authorId="0" shapeId="0" xr:uid="{2A39B0DE-C69E-4D8C-9B77-65F473B3001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AJ129" authorId="0" shapeId="0" xr:uid="{16C10F18-7356-448D-AF70-B7A557AC1FA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 2015</t>
        </r>
      </text>
    </comment>
    <comment ref="AK129" authorId="0" shapeId="0" xr:uid="{FF6A89B7-8611-4938-87A9-0D5C98D083A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 2016</t>
        </r>
      </text>
    </comment>
    <comment ref="AL129" authorId="0" shapeId="0" xr:uid="{0A74373A-11EF-4C28-A251-862345AAC4C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 2017</t>
        </r>
      </text>
    </comment>
    <comment ref="AM129" authorId="1" shapeId="0" xr:uid="{EC68AF15-B7D5-444F-A9E2-15CA414DE2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http://ddi.nso.go.th/index.php/catalog</t>
        </r>
      </text>
    </comment>
    <comment ref="AN129" authorId="1" shapeId="0" xr:uid="{2F933CDB-11EC-4E3A-BF78-A1A9938EC4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http://ddi.nso.go.th/index.php/catalog/230</t>
        </r>
      </text>
    </comment>
    <comment ref="AC130" authorId="1" shapeId="0" xr:uid="{E58EF16C-2CF0-4F92-8D9A-A2662209F7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AF130" authorId="0" shapeId="0" xr:uid="{B449E5A0-8728-4FE2-A427-5728FEB89F7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2011</t>
        </r>
      </text>
    </comment>
    <comment ref="AG130" authorId="1" shapeId="0" xr:uid="{A4F23C89-1A4F-4BB4-A4C1-99B2A4B1629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deleted by Dereje since we took latest in previous collection</t>
        </r>
      </text>
    </comment>
    <comment ref="AI130" authorId="0" shapeId="0" xr:uid="{D54CF177-BA6D-45AA-8A70-703A6F7CCE9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Survey of Living Standards 2014</t>
        </r>
      </text>
    </comment>
    <comment ref="AF131" authorId="0" shapeId="0" xr:uid="{FB586E08-EAAC-4483-ACC2-B7FA60FD47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Questionnaire des Indicateurs de Base du Bien-être 2011</t>
        </r>
      </text>
    </comment>
    <comment ref="AJ131" authorId="0" shapeId="0" xr:uid="{6889C9DE-374E-4BF3-BC77-C9A163A6317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Questionnaire des Indicateurs de Base du Bien-être 2015</t>
        </r>
      </text>
    </comment>
    <comment ref="AM131" authorId="0" shapeId="0" xr:uid="{8499D9B2-B861-4882-9648-898A2D2D3E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Harmonisée sur les Conditions de Vie des Ménages 2018</t>
        </r>
      </text>
    </comment>
    <comment ref="AD132" authorId="0" shapeId="0" xr:uid="{74DB4ADA-A579-436D-9DE9-D9D700ADBAB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 2009</t>
        </r>
      </text>
    </comment>
    <comment ref="AJ132" authorId="0" shapeId="0" xr:uid="{1457E3A0-D890-49C6-BB99-5A3E196BF31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Tonga Household Income and Expenditure Survey 2015-2016</t>
        </r>
      </text>
    </comment>
    <comment ref="AE134" authorId="0" shapeId="0" xr:uid="{3D839CB1-B788-4707-8F58-20333C4F97D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sur le Budget, la Consommation et le Niveau de Vie des Ménages 2010</t>
        </r>
      </text>
    </comment>
    <comment ref="AJ134" authorId="0" shapeId="0" xr:uid="{BB9C0EA1-28E6-482A-81AF-CF5C50F2632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Enquête nationale sur le budget la consommation et le niveau de vie des ménages 2015</t>
        </r>
      </text>
    </comment>
    <comment ref="W135" authorId="1" shapeId="0" xr:uid="{AE962C00-DAC1-438C-A3A7-36FD51754DE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Consumption Expenditures Survey</t>
        </r>
      </text>
    </comment>
    <comment ref="X135" authorId="1" shapeId="0" xr:uid="{E1F61879-549E-45B5-9500-21CF129E1B7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Consumption Expenditures Survey</t>
        </r>
      </text>
    </comment>
    <comment ref="Y135" authorId="1" shapeId="0" xr:uid="{61BAF04E-4B34-450A-A824-AEBF8BEAAC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Consumption Expenditures Survey</t>
        </r>
      </text>
    </comment>
    <comment ref="Z135" authorId="1" shapeId="0" xr:uid="{E2BFAEC6-06F7-4775-86DF-39FC113503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Consumption Expenditures Survey</t>
        </r>
      </text>
    </comment>
    <comment ref="AA135" authorId="1" shapeId="0" xr:uid="{BDB6502E-DE7A-4827-A595-F826B36485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Consumption Expenditures Survey</t>
        </r>
      </text>
    </comment>
    <comment ref="AB135" authorId="1" shapeId="0" xr:uid="{E1664770-5680-45C7-BDCE-940C0BB5296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Consumption Expenditures Survey</t>
        </r>
      </text>
    </comment>
    <comment ref="AC135" authorId="1" shapeId="0" xr:uid="{F2AF418A-1F91-4413-B92A-41B50D169F6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Consumption Expenditures Survey</t>
        </r>
      </text>
    </comment>
    <comment ref="AD135" authorId="0" shapeId="0" xr:uid="{41694EDA-B6FA-4C82-8098-540BAC87B1A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2009</t>
        </r>
      </text>
    </comment>
    <comment ref="AE135" authorId="0" shapeId="0" xr:uid="{E46D7B34-E173-444B-A9CA-672C0B28BDE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2010</t>
        </r>
      </text>
    </comment>
    <comment ref="AF135" authorId="0" shapeId="0" xr:uid="{9CE02DAB-0444-4AD9-9FC4-349D9CBF7D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2011</t>
        </r>
      </text>
    </comment>
    <comment ref="AG135" authorId="0" shapeId="0" xr:uid="{A4C3395D-288E-46E3-A88D-B76D7F8B3CE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2012</t>
        </r>
      </text>
    </comment>
    <comment ref="AH135" authorId="0" shapeId="0" xr:uid="{87E3DCEB-5756-407D-953A-EC6027C750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2013</t>
        </r>
      </text>
    </comment>
    <comment ref="AI135" authorId="0" shapeId="0" xr:uid="{F1912E79-D364-4CA3-8D4A-9DBFDB0C0D2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2014</t>
        </r>
      </text>
    </comment>
    <comment ref="AJ135" authorId="0" shapeId="0" xr:uid="{176122D8-1164-445E-AFA2-508E6D199B3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2015</t>
        </r>
      </text>
    </comment>
    <comment ref="AK135" authorId="0" shapeId="0" xr:uid="{362B6480-BED5-4336-AE29-23FD026832D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2016</t>
        </r>
      </text>
    </comment>
    <comment ref="AL135" authorId="0" shapeId="0" xr:uid="{76EAC089-0E8D-44E3-9D74-A111EF81FCF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2017</t>
        </r>
      </text>
    </comment>
    <comment ref="AM135" authorId="1" shapeId="0" xr:uid="{3FD1F063-8EEC-46EC-85BD-09AD6AF890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https://data.tuik.gov.tr/Bulten/Index?p=Income-and-Living-Conditions-Survey-2018-30755</t>
        </r>
      </text>
    </comment>
    <comment ref="AN135" authorId="1" shapeId="0" xr:uid="{3E5DC061-89CD-400A-97C9-1DA1275EB46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https://data.tuik.gov.tr/Bulten/Index?p=Household-Consumption-Expenditures-2019-33593</t>
        </r>
      </text>
    </comment>
    <comment ref="AO135" authorId="0" shapeId="0" xr:uid="{28F5C8C5-98F6-4332-AA41-69E93C8E589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Consumption Expenditures Survey 2017</t>
        </r>
      </text>
    </comment>
    <comment ref="AP135" authorId="1" shapeId="0" xr:uid="{C878714A-8975-4533-A551-0F3A64A235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https://data.tuik.gov.tr/Bulten/Index?p=Income-and-Living-Conditions-Survey-2018-30755</t>
        </r>
      </text>
    </comment>
    <comment ref="AQ135" authorId="1" shapeId="0" xr:uid="{57A559F0-E9E2-475F-BCC9-60AB2CFAD3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https://data.tuik.gov.tr/Bulten/Index?p=Household-Consumption-Expenditures-2019-33593</t>
        </r>
      </text>
    </comment>
    <comment ref="X136" authorId="1" shapeId="0" xr:uid="{8E4BDE42-FB07-4A11-BBA5-38C0618A1E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Standards Survey 2003</t>
        </r>
      </text>
    </comment>
    <comment ref="AD137" authorId="0" shapeId="0" xr:uid="{79FB2EAE-921C-48B8-BA8F-E8E01B5622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Tuvalu Household Income and Expenditure Survey </t>
        </r>
      </text>
    </comment>
    <comment ref="AD138" authorId="0" shapeId="0" xr:uid="{630A4B7B-4F42-4470-B05C-D87E8BFAF7E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Uganda National Household Survey 2009-2010</t>
        </r>
      </text>
    </comment>
    <comment ref="AE138" authorId="0" shapeId="0" xr:uid="{230036A5-DB44-408D-9119-23D5643BA50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2010-2011
</t>
        </r>
      </text>
    </comment>
    <comment ref="AF138" authorId="0" shapeId="0" xr:uid="{30C9E63F-208F-4E24-BD08-B48548CCC49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2011-2012
</t>
        </r>
      </text>
    </comment>
    <comment ref="AG138" authorId="0" shapeId="0" xr:uid="{0E4C13ED-76E4-4D16-BBF0-AC22CEE58FB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38" authorId="0" shapeId="0" xr:uid="{693C08A4-E35D-4687-B36C-8F516FCD62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2013-2014
</t>
        </r>
      </text>
    </comment>
    <comment ref="AJ138" authorId="0" shapeId="0" xr:uid="{F4E9874C-B1A5-49AF-9E2D-0E0AC3E1FB6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Panel Survey 2015-2016
</t>
        </r>
      </text>
    </comment>
    <comment ref="AK138" authorId="0" shapeId="0" xr:uid="{18D8FF28-E88C-47CF-8A55-45332575810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W139" authorId="0" shapeId="0" xr:uid="{17F58DB1-5A4B-47EC-8123-A7661A8F512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X139" authorId="0" shapeId="0" xr:uid="{FE7E1C23-9698-48AC-BCA0-1E4DB7063B6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Y139" authorId="0" shapeId="0" xr:uid="{C56D529D-4E27-4531-82A9-B771341B785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Z139" authorId="0" shapeId="0" xr:uid="{70D3FEDA-DEC1-4A78-838A-B92FE7701A4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A139" authorId="0" shapeId="0" xr:uid="{14689825-FE9C-4320-8E25-D57F42AE1BF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B139" authorId="0" shapeId="0" xr:uid="{8C153E99-59C1-4678-B23D-5CCD967D8BD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C139" authorId="0" shapeId="0" xr:uid="{ED2AC157-8123-4EEA-B3DA-37FB5CFBA98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D139" authorId="0" shapeId="0" xr:uid="{EFAC82D1-3D2E-4E89-917E-FDAF0924D8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E139" authorId="0" shapeId="0" xr:uid="{9029C0CB-4B99-4F5E-AE98-289E03ABBBD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F139" authorId="0" shapeId="0" xr:uid="{042354A0-1FDA-467F-BE02-E65B78953E1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G139" authorId="0" shapeId="0" xr:uid="{143A9210-A9F0-4BC0-961A-1E2653F2C7E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H139" authorId="0" shapeId="0" xr:uid="{B500829C-0712-4A11-9AF7-ED5C6103B4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I139" authorId="0" shapeId="0" xr:uid="{8274F095-701F-41CD-8A41-A3281381E3C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J139" authorId="0" shapeId="0" xr:uid="{72673A00-C07D-4FE7-9A0D-DFDBE6D2884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K139" authorId="0" shapeId="0" xr:uid="{800574BC-6994-4B52-B4D1-9C33D56DA68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Conditions Survey</t>
        </r>
      </text>
    </comment>
    <comment ref="AL139" authorId="1" shapeId="0" xr:uid="{F4892E0F-9B25-43A6-94A8-BBCE6322701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http://www.ukrstat.gov.ua/</t>
        </r>
      </text>
    </comment>
    <comment ref="AM139" authorId="1" shapeId="0" xr:uid="{90C7481B-FB58-4AC5-BD9F-A8F711A77E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http://www.ukrstat.gov.ua/</t>
        </r>
      </text>
    </comment>
    <comment ref="AN139" authorId="1" shapeId="0" xr:uid="{0764E007-0365-4CAB-BEC9-4D3A7BD10C5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http://www.ukrstat.gov.ua/</t>
        </r>
      </text>
    </comment>
    <comment ref="Q140" authorId="1" shapeId="0" xr:uid="{F046237E-DBFB-4825-A732-184D1121C8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https://www.ine.gub.uy/web/guest/encuesta-continua-de-hogares1</t>
        </r>
      </text>
    </comment>
    <comment ref="R140" authorId="1" shapeId="0" xr:uid="{09895ACE-D941-4F27-B265-2D965D54FD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https://www.ine.gub.uy/web/guest/encuesta-continua-de-hogares1</t>
        </r>
      </text>
    </comment>
    <comment ref="S140" authorId="1" shapeId="0" xr:uid="{CA87A938-AFF6-4331-870C-CA0639D901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https://www.ine.gub.uy/web/guest/encuesta-continua-de-hogares1</t>
        </r>
      </text>
    </comment>
    <comment ref="T140" authorId="1" shapeId="0" xr:uid="{708AF66C-B1FF-4F2F-9D87-70A0A657D2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https://www.ine.gub.uy/web/guest/encuesta-continua-de-hogares1</t>
        </r>
      </text>
    </comment>
    <comment ref="U140" authorId="0" shapeId="0" xr:uid="{AE45F113-8F2E-43B9-A356-B4C243E4111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V140" authorId="0" shapeId="0" xr:uid="{263F4FD0-CA1A-4BFE-B47A-A28B50CE01E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W140" authorId="0" shapeId="0" xr:uid="{039081EE-8817-4244-9F75-485326D0189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X140" authorId="0" shapeId="0" xr:uid="{01C12E79-5F2C-43A2-AF65-9BFB0979CF3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Y140" authorId="0" shapeId="0" xr:uid="{F1CE9DE6-9427-4A73-AB93-BEA158B9F6A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Z140" authorId="0" shapeId="0" xr:uid="{D463C1B7-6589-4416-8DDB-D6F8AF68807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A140" authorId="0" shapeId="0" xr:uid="{46C9F83B-DFCC-4B71-A140-7532D55646F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B140" authorId="0" shapeId="0" xr:uid="{7FC9E1AA-6310-4F6D-A9A0-06E43B92F22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C140" authorId="0" shapeId="0" xr:uid="{0B71E52C-1421-4EB3-8893-E163E309F82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D140" authorId="0" shapeId="0" xr:uid="{8F1F4E0E-C1F8-47DA-AE82-B28BD3CB1220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E140" authorId="0" shapeId="0" xr:uid="{0A246719-9A2B-408A-884D-D997D28C97E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F140" authorId="0" shapeId="0" xr:uid="{E0C089C1-0592-4F33-810C-775DBF57B0F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G140" authorId="0" shapeId="0" xr:uid="{275072D4-FDE2-4364-9470-9FBC95588FB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H140" authorId="0" shapeId="0" xr:uid="{2433C41D-B482-457B-9565-62CDB7200D4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I140" authorId="0" shapeId="0" xr:uid="{1143277E-D790-4F21-9DEC-5AFDCC6751C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J140" authorId="0" shapeId="0" xr:uid="{88B16E00-5809-46B4-8F13-DB1A13D0316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K140" authorId="0" shapeId="0" xr:uid="{B77F1263-7571-4D7E-AE2C-78C311CBB83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L140" authorId="0" shapeId="0" xr:uid="{08E8A279-493E-401B-AF2C-22FCACE942F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Encuesta Continua de Hogares</t>
        </r>
      </text>
    </comment>
    <comment ref="AM140" authorId="1" shapeId="0" xr:uid="{D1B1F0BE-BA00-4063-90BA-E648B75C76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Encuesta Continua de Hogares 2018</t>
        </r>
      </text>
    </comment>
    <comment ref="AN140" authorId="1" shapeId="0" xr:uid="{862D00EB-08CC-43A1-B96F-3D3E3E70CBD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https://www.ine.gub.uy/web/guest/encuesta-continua-de-hogares1</t>
        </r>
      </text>
    </comment>
    <comment ref="AJ141" authorId="0" shapeId="0" xr:uid="{D036321D-C23A-4A60-91C5-83CB8A40EDA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K141" authorId="0" shapeId="0" xr:uid="{563AF387-80E7-422B-B347-203347640246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L141" authorId="0" shapeId="0" xr:uid="{852CCD56-A4DD-4EB6-BC99-73BAB618D45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E142" authorId="0" shapeId="0" xr:uid="{A15838D2-5731-47B3-B2EE-BEE3BE61CD4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G142" authorId="1" shapeId="0" xr:uid="{15D9C360-E5BC-437C-B4BF-28ED18BEE32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https://microdata.pacificdata.org/index.php/catalog/43</t>
        </r>
      </text>
    </comment>
    <comment ref="AM142" authorId="0" shapeId="0" xr:uid="{3AF98918-D71B-468A-B982-214660E66B6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E144" authorId="0" shapeId="0" xr:uid="{FD491A86-1E4E-43B6-BD4E-9F8A86F31EF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Standards Survey 2012</t>
        </r>
      </text>
    </comment>
    <comment ref="AG144" authorId="0" shapeId="0" xr:uid="{B4FB83E7-B643-424F-8714-66FCE27CDCD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Standards Survey 2012</t>
        </r>
      </text>
    </comment>
    <comment ref="AI144" authorId="0" shapeId="0" xr:uid="{F4DBF15B-C41F-4956-94BA-E5A8CDA9F28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Living Standards Survey 2014</t>
        </r>
      </text>
    </comment>
    <comment ref="AK144" authorId="0" shapeId="0" xr:uid="{E20C015E-9190-401B-84A4-D908D0BA90D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Vietnam Household Living Standards Survey 2016</t>
        </r>
      </text>
    </comment>
    <comment ref="AM144" authorId="1" shapeId="0" xr:uid="{412EEF12-90D0-4D82-8FA7-36DA21AE8F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https://www.gso.gov.vn/en/data-and-statistics/2020/05/result-of-the-vietnam-household-living-standards-survey-2018/</t>
        </r>
      </text>
    </comment>
    <comment ref="AD145" authorId="0" shapeId="0" xr:uid="{B0DE4473-B03A-42DD-9A6B-FD456F74C2D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Palestine Expenditure and Consumption Survey 2009</t>
        </r>
      </text>
    </comment>
    <comment ref="AE145" authorId="0" shapeId="0" xr:uid="{7BF9EBB1-2528-4C8E-AC03-3390952F7BA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Palestine Expenditure and Consumption Survey 2010</t>
        </r>
      </text>
    </comment>
    <comment ref="AF145" authorId="0" shapeId="0" xr:uid="{EF48E23C-2E51-436A-9B02-11E424E3848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Palestine Expenditure and Consumption Survey 2011</t>
        </r>
      </text>
    </comment>
    <comment ref="AK145" authorId="0" shapeId="0" xr:uid="{35085976-0E07-41B5-A463-8EF90CFC318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Expenditure and Consumption Survey 2016-2017</t>
        </r>
      </text>
    </comment>
    <comment ref="AI146" authorId="0" shapeId="0" xr:uid="{59F6AE23-6C74-494B-86AA-F1B096F48E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Household Budget Survey 2014</t>
        </r>
      </text>
    </comment>
    <comment ref="AE147" authorId="0" shapeId="0" xr:uid="{B6C57D5A-7F4B-4CE1-8B19-6A766AEFFD4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Conditions Monitoring Survey VI 2010</t>
        </r>
      </text>
    </comment>
    <comment ref="AJ147" authorId="0" shapeId="0" xr:uid="{458CC4F6-89AA-4103-BCD9-915BFD722B6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Living Conditions Monitoring Survey VII 2015</t>
        </r>
      </text>
    </comment>
    <comment ref="AF148" authorId="0" shapeId="0" xr:uid="{F2F0E969-9738-4E31-81E9-6AB308124D7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Poverty Income Consumption and Expenditure Survey 2011/12</t>
        </r>
      </text>
    </comment>
    <comment ref="AL148" authorId="0" shapeId="0" xr:uid="{38FB55F9-43B5-4482-9E05-928A6B91B7B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Poverty, Income and Consumption Expenditure Survey 2017</t>
        </r>
      </text>
    </comment>
    <comment ref="AN148" authorId="0" shapeId="0" xr:uid="{6F2CD921-0570-4E2D-9128-319816E0CD7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Mini-Poverty Income and Consumption Expenditure Survey 2019</t>
        </r>
      </text>
    </comment>
    <comment ref="Z149" authorId="1" shapeId="0" xr:uid="{CDCAB55E-5130-4D43-ADAB-B34423AB907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https://www.data.gov.bh/en/ResourceCenter</t>
        </r>
      </text>
    </comment>
    <comment ref="AI149" authorId="1" shapeId="0" xr:uid="{FD850EE1-3B01-44B9-AAD8-566D333CD4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https://www.data.gov.bh/en/ResourceCenter</t>
        </r>
      </text>
    </comment>
    <comment ref="AD151" authorId="1" shapeId="0" xr:uid="{28084260-D860-41A7-BC44-22EF5171266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https://www.czso.cz/csu/czso/prijmy-a-zivotni-podminky-domacnosti-2019</t>
        </r>
      </text>
    </comment>
    <comment ref="AN151" authorId="1" shapeId="0" xr:uid="{EC8114E0-0A3A-46ED-B23D-2DBBBD453EE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https://www.czso.cz/csu/czso/prijmy-a-zivotni-podminky-domacnosti-2019</t>
        </r>
      </text>
    </comment>
    <comment ref="N152" authorId="1" shapeId="0" xr:uid="{DB01DA2D-AD37-4E7B-BB25-F5D9A4FEE45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O152" authorId="1" shapeId="0" xr:uid="{48DE3708-ED6E-4C09-9C47-C8266230364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S152" authorId="1" shapeId="0" xr:uid="{9F4953E9-A169-4D6A-9A40-1C63260930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152" authorId="1" shapeId="0" xr:uid="{34BE9523-19DE-46AE-BB6A-EBC9BA5ACF0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X152" authorId="1" shapeId="0" xr:uid="{CCAC2B8B-3C46-4069-BCB9-9B4FE45E99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Y152" authorId="1" shapeId="0" xr:uid="{079DF339-9D23-4FDA-ACF3-CA80E55721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52" authorId="1" shapeId="0" xr:uid="{1DA6E1D4-86B1-4B7D-B207-3181898980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 Income and Living Conditions (EU-SILC)</t>
        </r>
      </text>
    </comment>
    <comment ref="AA152" authorId="1" shapeId="0" xr:uid="{127F0EA2-AAD0-490E-9AD3-B3F0438DE2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B152" authorId="1" shapeId="0" xr:uid="{BC98BF8C-8ED5-4891-A9FE-F65C05306A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C152" authorId="1" shapeId="0" xr:uid="{F1F23AB2-2858-4B1A-9E55-0FBD3F6018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52" authorId="1" shapeId="0" xr:uid="{9FA062BA-66BA-4713-9A6F-5CFEFDA007F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52" authorId="1" shapeId="0" xr:uid="{C5339684-0C30-4860-96C2-FE54622CA01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52" authorId="1" shapeId="0" xr:uid="{C5C59B7C-F894-4F81-9F15-7F37851142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52" authorId="1" shapeId="0" xr:uid="{9C4D380E-2408-4761-8039-6DA4EE286F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52" authorId="1" shapeId="0" xr:uid="{55A56389-9001-4069-A89F-0F6F70AAEB7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52" authorId="1" shapeId="0" xr:uid="{A361C603-54A0-4A8D-AEEB-A38DADD3401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52" authorId="1" shapeId="0" xr:uid="{772EE2CC-5C0E-434B-8E4C-F2863B5DA1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52" authorId="1" shapeId="0" xr:uid="{B5824050-EBFC-427B-9885-DFDD654AC1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52" authorId="1" shapeId="0" xr:uid="{BDF9D5F8-BA71-46F5-934F-23B9AE3ACC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52" authorId="1" shapeId="0" xr:uid="{E5E1BBED-BDB4-4D4B-9BDD-F66439C49A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52" authorId="1" shapeId="0" xr:uid="{140578B1-3D8B-4EA8-8B47-2D0DAA397A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Y153" authorId="1" shapeId="0" xr:uid="{D1F0A10D-F90C-4AE0-84CE-878DAC6F54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Surveys</t>
        </r>
      </text>
    </comment>
    <comment ref="Z153" authorId="1" shapeId="0" xr:uid="{D4FB091A-1CA8-402A-86C9-58B7E0BD04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53" authorId="1" shapeId="0" xr:uid="{D9EB105D-2F27-46E8-A00B-D4630BD4818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53" authorId="1" shapeId="0" xr:uid="{C2FCE73F-35E8-44F6-8084-24994D8075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53" authorId="1" shapeId="0" xr:uid="{CDAE5953-DE7D-4C4A-AC88-2A433CBEA23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53" authorId="1" shapeId="0" xr:uid="{1065BBDF-7499-4FF0-A296-BB2CD67B1B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53" authorId="1" shapeId="0" xr:uid="{5C70052C-D0C1-4CAE-9FB7-5EB303DB77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53" authorId="1" shapeId="0" xr:uid="{0FCA8A7E-BE60-4A36-93DD-3FDC0EB528D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53" authorId="1" shapeId="0" xr:uid="{DAF6B83E-8BCC-4FF7-8657-F3A4780FF77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53" authorId="1" shapeId="0" xr:uid="{5AA0D6C1-E03D-4BDB-8F6A-1EB25BC5040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53" authorId="1" shapeId="0" xr:uid="{DEBD0D29-4BBF-4102-845B-D223C7B1A22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53" authorId="1" shapeId="0" xr:uid="{EC99A993-09A2-4E5B-B58D-71A9037290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53" authorId="1" shapeId="0" xr:uid="{E235ABEA-2134-4FA5-8A5D-EA4FA7118CD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53" authorId="1" shapeId="0" xr:uid="{5C9A9D9F-6732-4198-8AAB-296F2C1F08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53" authorId="1" shapeId="0" xr:uid="{031D9416-F98E-4C3E-8D28-528841E3659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53" authorId="1" shapeId="0" xr:uid="{1BFC509C-D49D-49C9-8DDD-91C4F2BB9B0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https://ec.europa.eu/eurostat/documents/203647/771732/Datasets-availability-table.pdf</t>
        </r>
      </text>
    </comment>
    <comment ref="W154" authorId="1" shapeId="0" xr:uid="{96C0892D-55EF-492D-B257-A2E852EAF0A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154" authorId="1" shapeId="0" xr:uid="{BE60184B-98C1-49F1-9168-614655B43E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54" authorId="1" shapeId="0" xr:uid="{DBF0D135-0A6D-4D88-B12B-5C7B9E0B7AD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154" authorId="1" shapeId="0" xr:uid="{30268452-7F43-47AC-AD63-B6CC1C7157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154" authorId="1" shapeId="0" xr:uid="{CAAD1777-01DD-48AD-B1DE-33BD09A125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B154" authorId="1" shapeId="0" xr:uid="{74F6C256-9F9D-4993-9B4C-2C8CE806089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154" authorId="1" shapeId="0" xr:uid="{4D6B6896-B403-4C4E-A447-7140880672B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154" authorId="1" shapeId="0" xr:uid="{F51BF7AD-82DA-433F-8B60-AA2CED76CE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E154" authorId="1" shapeId="0" xr:uid="{F7D070CF-B904-464C-91D9-AB2CB845B94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F154" authorId="1" shapeId="0" xr:uid="{2259244A-2368-4308-B6B5-61DABB8CA15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G154" authorId="1" shapeId="0" xr:uid="{DB55DCE9-52EA-4CC4-93A8-0C3B266FFF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H154" authorId="1" shapeId="0" xr:uid="{C4E856B7-94FB-41FA-BA84-CDBDC6CA8D14}">
      <text>
        <r>
          <rPr>
            <b/>
            <sz val="9"/>
            <color rgb="FF000000"/>
            <rFont val="Tahoma"/>
            <family val="2"/>
          </rPr>
          <t>Dereje Ketema Wolde: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Household Budget Survey</t>
        </r>
      </text>
    </comment>
    <comment ref="AI154" authorId="1" shapeId="0" xr:uid="{38D58C05-2DEE-46BB-972F-4E3D54BC94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54" authorId="1" shapeId="0" xr:uid="{EE8371B1-EA68-4DD6-BEA0-8EB8304503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54" authorId="1" shapeId="0" xr:uid="{31CFA8BB-310D-4279-824B-0A31DF5A1C0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54" authorId="1" shapeId="0" xr:uid="{B0BE5ABA-32A8-4F95-A2CB-CF1979FA2D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54" authorId="1" shapeId="0" xr:uid="{58893822-80C1-4B67-9B74-AE5ECC13226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54" authorId="1" shapeId="0" xr:uid="{458D08B8-C422-4B86-96FD-E5A308F476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55" authorId="1" shapeId="0" xr:uid="{A47BCAD2-F040-45C2-BE0E-8AEEC5412D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E155" authorId="1" shapeId="0" xr:uid="{1F640A28-200D-4839-AB31-FAAB871D18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F155" authorId="1" shapeId="0" xr:uid="{60357FA1-EF48-4BE7-BFFB-95D096ED39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55" authorId="1" shapeId="0" xr:uid="{FDFB072E-6BE4-4297-8710-7798E9A2E17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55" authorId="1" shapeId="0" xr:uid="{43FDAD78-178E-485F-A828-2582C793A0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55" authorId="1" shapeId="0" xr:uid="{578753C0-318B-4B62-BB8A-BE7B250165D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55" authorId="1" shapeId="0" xr:uid="{40F8D8F7-FECA-41BC-B7D5-0BE01BF5BF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K155" authorId="1" shapeId="0" xr:uid="{176ACAE5-166A-4320-8FB8-AF62241ED4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55" authorId="1" shapeId="0" xr:uid="{42FF2452-6A92-41F0-A9CC-63714226858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55" authorId="1" shapeId="0" xr:uid="{4EA39502-64B7-4C64-96BB-C693346752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55" authorId="1" shapeId="0" xr:uid="{6055BC43-D04D-41E8-9378-543656BC56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T156" authorId="1" shapeId="0" xr:uid="{60CFA566-F51B-464C-9C74-A592E8735B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https://www.ncsi.gov.om/Elibrary/Pages/LibraryContentDetails.aspx?ItemID=Ji3a1IEaZud%2fua9Pi9VARQ%3d%3d</t>
        </r>
      </text>
    </comment>
    <comment ref="AA156" authorId="1" shapeId="0" xr:uid="{A482F969-2223-49FF-A438-1445BF85BAD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https://www.ncsi.gov.om/Elibrary/Pages/LibraryContentDetails.aspx?ItemID=Oa40yL%2b%2bg%2fD6xwVLu3OjTw%3d%3d</t>
        </r>
      </text>
    </comment>
    <comment ref="AB156" authorId="1" shapeId="0" xr:uid="{C1FFCF8E-2F75-4D77-AC0A-16F3A0269D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https://www.ncsi.gov.om/Elibrary/Pages/LibraryContentDetails.aspx?ItemID=0jixU4x5KYr8q%2baOx0QB3g%3d%3d</t>
        </r>
      </text>
    </comment>
    <comment ref="AC156" authorId="1" shapeId="0" xr:uid="{DCAB6880-363F-44A4-882C-FAFD51153F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https://www.ncsi.gov.om/Elibrary/Pages/LibraryContentDetails.aspx?ItemID=JuGiB4k5cSgk4CyYYRX4aQ%3d%3d</t>
        </r>
      </text>
    </comment>
    <comment ref="AD156" authorId="1" shapeId="0" xr:uid="{0C24B93C-ADFF-4EAF-AF2D-115DF0155F2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https://www.ncsi.gov.om/Elibrary/Pages/LibraryContentDetails.aspx?ItemID=Bdhq%2fBl4iGOkt9qYBGk5cg%3d%3d</t>
        </r>
      </text>
    </comment>
    <comment ref="AE156" authorId="1" shapeId="0" xr:uid="{EA484AC5-8923-4EAA-856E-CB3BCD701EC0}">
      <text>
        <r>
          <rPr>
            <b/>
            <sz val="9"/>
            <color rgb="FF000000"/>
            <rFont val="Tahoma"/>
            <family val="2"/>
          </rPr>
          <t>Dereje Ketema Wolde: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https://www.ncsi.gov.om/Elibrary/Pages/LibraryContentDetails.aspx?ItemID=gD3XZQZKhtsbIEYU1cpDEw%3d%3d</t>
        </r>
      </text>
    </comment>
    <comment ref="AJ156" authorId="1" shapeId="0" xr:uid="{3C4C200B-C2BB-4EF1-A44F-B48BDABEC2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https://www.ncsi.gov.om/Elibrary/Pages/LibraryContentDetails.aspx?ItemID=Uuo%2fdWgP8LuyCuEzBj6kEg%3d%3d</t>
        </r>
      </text>
    </comment>
    <comment ref="AM156" authorId="1" shapeId="0" xr:uid="{312FD039-184C-40EB-AD1E-63871671CD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https://www.ncsi.gov.om/Elibrary/Pages/LibraryContentDetails.aspx?ItemID=q9MHjGe4Xp0jW2dqgEzA3w%3d%3d</t>
        </r>
      </text>
    </comment>
    <comment ref="Y158" authorId="1" shapeId="0" xr:uid="{583DA86E-C180-43C1-A8F2-3630670263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Surveys</t>
        </r>
      </text>
    </comment>
    <comment ref="Z158" authorId="1" shapeId="0" xr:uid="{E89DA126-7317-4F6C-9558-22FB4591F10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58" authorId="1" shapeId="0" xr:uid="{996FBFE1-11F3-4930-B33F-44A0325569A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58" authorId="1" shapeId="0" xr:uid="{21FF7167-407C-45DA-92B6-4DE6648A0C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58" authorId="1" shapeId="0" xr:uid="{0DA82A34-F11E-4D17-9675-8CA42AE2DE3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58" authorId="1" shapeId="0" xr:uid="{CB5E76DA-5000-4413-8C89-34D0997684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58" authorId="1" shapeId="0" xr:uid="{AD4506F9-63F9-4A7D-8910-CF706C8A1DD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58" authorId="1" shapeId="0" xr:uid="{AB97ED1D-FF60-4B4F-A88D-22C9021CE7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58" authorId="1" shapeId="0" xr:uid="{5C7360BC-E1B5-4138-9E3E-2B5B690B918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58" authorId="1" shapeId="0" xr:uid="{22EA9C95-B885-43E3-BC1B-B1208A56A8F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58" authorId="1" shapeId="0" xr:uid="{00D6D0A6-DABC-4561-A786-38C75A32E9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58" authorId="1" shapeId="0" xr:uid="{03917DF4-0EA3-4735-9F12-A7BA002B90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58" authorId="1" shapeId="0" xr:uid="{71ADAFDC-CB7F-4A5C-976E-2FDC7099FEC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58" authorId="1" shapeId="0" xr:uid="{87638D53-E1A9-4EE1-9988-FBB5FB1458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58" authorId="1" shapeId="0" xr:uid="{9454B5D1-A2C1-4490-B8E3-EC59454B4D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58" authorId="1" shapeId="0" xr:uid="{2942EDCC-05E4-4383-95EE-C8CE614A67D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Surveys</t>
        </r>
      </text>
    </comment>
    <comment ref="W159" authorId="1" shapeId="0" xr:uid="{8BB8642E-BD51-44C6-8165-AC39F1AC17A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159" authorId="1" shapeId="0" xr:uid="{33876DD3-B901-44D6-B4EA-24B7517937C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59" authorId="1" shapeId="0" xr:uid="{F9E637AA-F4D3-433D-B67F-6A06B30594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159" authorId="1" shapeId="0" xr:uid="{5F8DDC5A-5CBD-4711-B0A9-0B4C39E198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159" authorId="1" shapeId="0" xr:uid="{99D6DD1C-4E15-4480-B5C9-11FA18ED28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B159" authorId="1" shapeId="0" xr:uid="{8C6ACBD9-9A71-4539-91A9-A58DBBF35A5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C159" authorId="1" shapeId="0" xr:uid="{B18CF99D-DBD2-4F4B-AD12-5AA3C8CCDED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D159" authorId="1" shapeId="0" xr:uid="{0F49F908-ED1D-4013-A8F2-7B80E0295C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E159" authorId="1" shapeId="0" xr:uid="{FA93DA30-0A39-4165-A41D-2FA6441D830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F159" authorId="1" shapeId="0" xr:uid="{FF6DBBC3-FC09-49B5-ADDA-F83CB73270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G159" authorId="1" shapeId="0" xr:uid="{BE667E52-D490-4776-B4D2-99FF0474BFE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H159" authorId="1" shapeId="0" xr:uid="{E62FE58B-D315-49FC-9423-0398EBCA3E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I159" authorId="1" shapeId="0" xr:uid="{0B117974-9EE8-4308-81D2-2D05172956C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J159" authorId="1" shapeId="0" xr:uid="{5AB85BCC-08CE-4729-ABDC-4E8303F85F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K159" authorId="1" shapeId="0" xr:uid="{F0AF2DFE-D888-41AE-8B60-B8DEA7DDC5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L159" authorId="1" shapeId="0" xr:uid="{47D0B6E8-D9C2-4E88-8CC8-BD04BCE1839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M159" authorId="1" shapeId="0" xr:uid="{35908001-04B5-4143-8F57-929BFB1D56F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62" authorId="1" shapeId="0" xr:uid="{9DD30625-6C63-479A-97D0-FF723DD7C0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62" authorId="1" shapeId="0" xr:uid="{62D46056-3389-4121-AA43-0C9DC67A74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X163" authorId="1" shapeId="0" xr:uid="{39A0BCF4-EEF4-4EFF-BB74-947700A4E9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63" authorId="1" shapeId="0" xr:uid="{6F684AE3-7784-4CE3-919E-4DDCEA59E0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63" authorId="1" shapeId="0" xr:uid="{98E36212-0CDA-4E70-986E-63E7F624E61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63" authorId="1" shapeId="0" xr:uid="{C0145FA0-C3B3-4F70-B14A-00DC33AB6FF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63" authorId="1" shapeId="0" xr:uid="{62C5957E-65ED-40A4-88B9-05458D06130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63" authorId="1" shapeId="0" xr:uid="{A8908532-6ACC-4D83-9D3E-7247732865C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63" authorId="1" shapeId="0" xr:uid="{7307618A-CA30-4370-9B53-EC60E248A82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63" authorId="1" shapeId="0" xr:uid="{33B4A660-77DA-4A2E-B1EB-ABEA78F267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63" authorId="1" shapeId="0" xr:uid="{B2D51C1C-CE7C-41E5-96EC-3B5F1DA1D3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63" authorId="1" shapeId="0" xr:uid="{23591974-EC7C-49B6-B515-DE1E199276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63" authorId="1" shapeId="0" xr:uid="{3EED0845-9E4F-4E5C-9D6F-C8CE444CA62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63" authorId="1" shapeId="0" xr:uid="{E49FECA6-9E78-4C97-80D8-A27D43BB70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63" authorId="1" shapeId="0" xr:uid="{A92B047F-696D-432B-AD42-81AEFC35726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K163" authorId="1" shapeId="0" xr:uid="{C9129123-F232-4B2B-BBBC-A5D9734F98B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63" authorId="1" shapeId="0" xr:uid="{757500FC-10A4-42DA-96A9-4FDE7F46589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63" authorId="1" shapeId="0" xr:uid="{30A75AE8-AD02-411B-AA41-F8E947E438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63" authorId="1" shapeId="0" xr:uid="{D3FB614A-AC17-4D4A-B897-0E58085BEFA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U167" authorId="1" shapeId="0" xr:uid="{FECCCEFD-68BD-4454-9CEC-1E8CDA1CD3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A167" authorId="1" shapeId="0" xr:uid="{B00D5AB3-7F9E-49A9-AE35-E06E5AA33D1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AB167" authorId="1" shapeId="0" xr:uid="{1A0DE0B0-DFB7-496C-B56D-FFB53FFB37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67" authorId="1" shapeId="0" xr:uid="{AD8546BF-8085-4A91-8D7A-97A58B262EA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67" authorId="1" shapeId="0" xr:uid="{96D71F4E-A821-40E2-8A12-060EF19155C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Z168" authorId="1" shapeId="0" xr:uid="{3F0280E3-FCC5-4A8D-AD1C-1704892CA53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A168" authorId="1" shapeId="0" xr:uid="{612950CE-986A-4E9B-A5D2-EF58ED8669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B168" authorId="1" shapeId="0" xr:uid="{C5DC46CA-16AA-4F0C-B678-D391C6694E4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C168" authorId="1" shapeId="0" xr:uid="{6A6702EF-18C3-4FAD-B641-A729DF23586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D168" authorId="1" shapeId="0" xr:uid="{933F3DE7-9F19-4A4B-A844-A1235C730C9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E168" authorId="1" shapeId="0" xr:uid="{843EDA5B-FE45-47D9-9565-4A24BE7FC1A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F168" authorId="1" shapeId="0" xr:uid="{C5CB3CC8-BD8B-474D-8CE0-43EFA77B907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68" authorId="1" shapeId="0" xr:uid="{AFED94D5-884B-48A0-9DD4-0BBA30A736C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H168" authorId="1" shapeId="0" xr:uid="{8256E787-2284-44BC-96D1-F98C78F19A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68" authorId="1" shapeId="0" xr:uid="{99AD087C-64D9-45C5-AD63-F10CB5C181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68" authorId="1" shapeId="0" xr:uid="{3585EA8C-637D-48C0-853E-7876692674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K168" authorId="1" shapeId="0" xr:uid="{26BCB604-77EE-4972-927D-8684581549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68" authorId="1" shapeId="0" xr:uid="{51DBD114-9B34-4CF1-93E3-F2107F41178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68" authorId="1" shapeId="0" xr:uid="{960C5502-DCC3-4AA8-B261-B30FEE3DA1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68" authorId="1" shapeId="0" xr:uid="{4A8839C2-7A1C-4925-9904-40E9135BADC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T169" authorId="1" shapeId="0" xr:uid="{BBB5DCE8-57DC-4CDA-974D-E6F8D216FE9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69" authorId="1" shapeId="0" xr:uid="{65533527-CCB3-41B6-8803-CE4B9EF1A79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Z169" authorId="1" shapeId="0" xr:uid="{C7045901-DA3A-4115-86C8-7FFE1F659D0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69" authorId="1" shapeId="0" xr:uid="{4185ABDF-8469-4D4F-B608-170E167E4265}">
      <text>
        <r>
          <rPr>
            <b/>
            <sz val="9"/>
            <color rgb="FF000000"/>
            <rFont val="Tahoma"/>
            <family val="2"/>
          </rPr>
          <t>Dereje Ketema Wolde: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Household Budget Survey and Income and Living Conditions (EU-SILC)</t>
        </r>
      </text>
    </comment>
    <comment ref="AM169" authorId="1" shapeId="0" xr:uid="{3FF57335-7293-4CC1-9278-955B2333855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69" authorId="1" shapeId="0" xr:uid="{019B4624-9534-4F75-A417-05571F95ED5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O170" authorId="1" shapeId="0" xr:uid="{13D1857B-C75B-49AE-A13F-2F7BBF0DB7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170" authorId="1" shapeId="0" xr:uid="{6D397A37-3A1A-4CC4-A691-9EE7910280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70" authorId="1" shapeId="0" xr:uid="{1E587087-6CFB-4215-B203-2B701DDFAB8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70" authorId="1" shapeId="0" xr:uid="{3CC7B0D3-F59C-4391-ACD3-B6431AC082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70" authorId="1" shapeId="0" xr:uid="{E5F15391-7BB1-4CA3-BF2A-E25FA7D5C22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70" authorId="1" shapeId="0" xr:uid="{65B124D4-02E4-4867-83B5-DBFB85803E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70" authorId="1" shapeId="0" xr:uid="{D3AD76AE-01DB-4C85-BBFE-974CA94AA48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70" authorId="1" shapeId="0" xr:uid="{E76F54CD-6EA2-4C56-915A-06419C4B6A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70" authorId="1" shapeId="0" xr:uid="{CC5F6D55-A684-48EB-86EA-1D79281C91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70" authorId="1" shapeId="0" xr:uid="{45BA2E53-8230-4B96-A3FE-80514EA9600E}">
      <text>
        <r>
          <rPr>
            <b/>
            <sz val="9"/>
            <color rgb="FF000000"/>
            <rFont val="Tahoma"/>
            <family val="2"/>
          </rPr>
          <t>Dereje Ketema Wolde: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Household Budget Survey and Income and Living Conditions (EU-SILC)</t>
        </r>
      </text>
    </comment>
    <comment ref="AG170" authorId="1" shapeId="0" xr:uid="{F04FB212-EDCF-4CF8-8D65-814E19B4D59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70" authorId="1" shapeId="0" xr:uid="{3E37C107-1478-455F-962D-86A4A927FB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70" authorId="1" shapeId="0" xr:uid="{89A2F0CF-4D36-411F-89A9-88A8EEF25A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70" authorId="1" shapeId="0" xr:uid="{93FA6318-9F51-43F0-AF64-B73EDD4648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70" authorId="1" shapeId="0" xr:uid="{0315575F-4F1B-4BCC-A82A-77DAF99B42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70" authorId="1" shapeId="0" xr:uid="{3AE7FAC0-C253-4D6A-8086-0FF10A48FF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70" authorId="1" shapeId="0" xr:uid="{C48D1C24-EEDE-466A-B47B-B136702D4B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70" authorId="1" shapeId="0" xr:uid="{CADF5BB9-599D-47D8-BF4D-AE986808A1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O170" authorId="1" shapeId="0" xr:uid="{D1459B49-60AD-4B29-8237-974CFD8DFC9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X171" authorId="1" shapeId="0" xr:uid="{A45C5D88-4B09-421E-A4BD-A259DBA37F1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71" authorId="1" shapeId="0" xr:uid="{66A6B6DC-7A89-4ED8-8A4C-054F99B2CD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71" authorId="1" shapeId="0" xr:uid="{C58A029E-1EE5-42A8-9D4C-57C401BE58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71" authorId="1" shapeId="0" xr:uid="{86F3E9F3-9F6D-4DAC-BC81-F84C47FC16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71" authorId="1" shapeId="0" xr:uid="{8FAC0327-9722-437A-ABBB-40E4C0D9256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71" authorId="1" shapeId="0" xr:uid="{3D4006C5-17AA-43A2-9FB2-9A44F7B481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71" authorId="1" shapeId="0" xr:uid="{BA66175D-49C7-421A-B301-8D3999FD0EC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71" authorId="1" shapeId="0" xr:uid="{9FD55648-4A9B-4906-8B63-EF61FADC4B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71" authorId="1" shapeId="0" xr:uid="{35C57D3D-367B-4FDA-80A2-BB0ADAB8DC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71" authorId="1" shapeId="0" xr:uid="{2EF1732A-2E05-46BA-B227-DE2C3D99F88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71" authorId="1" shapeId="0" xr:uid="{128E2F63-5931-47CE-8C91-67FACEAB59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71" authorId="1" shapeId="0" xr:uid="{68BDDBB2-CA95-4C31-950C-1B351D8939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71" authorId="1" shapeId="0" xr:uid="{14FA5C18-1C23-492F-BD7D-74046D1DEA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71" authorId="1" shapeId="0" xr:uid="{F97F101F-2264-4A23-A28C-3193ED5E42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71" authorId="1" shapeId="0" xr:uid="{DAF6F7EE-00F0-4FBC-9BD8-F078C301C5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71" authorId="1" shapeId="0" xr:uid="{882FDE7E-FCBF-4B94-A8E6-B76F797B8B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71" authorId="1" shapeId="0" xr:uid="{FC591D6C-A015-4A3A-9457-D8E320B511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Q172" authorId="1" shapeId="0" xr:uid="{025EE1AA-88E0-42DA-BE7A-8A16A704FF9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R172" authorId="1" shapeId="0" xr:uid="{865F17C9-208C-41C0-8203-016433B8E1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S172" authorId="1" shapeId="0" xr:uid="{1AC1CB3B-EA7C-43D3-9541-D28F487234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T172" authorId="1" shapeId="0" xr:uid="{D5B6E229-276B-42BD-94FC-42D4C468A5F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U172" authorId="1" shapeId="0" xr:uid="{582FD952-FCD4-4A50-987B-DDC2EDF4D93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V172" authorId="1" shapeId="0" xr:uid="{45ACB51A-1A7D-4C9D-9924-1092E97D20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W172" authorId="1" shapeId="0" xr:uid="{32759E16-646C-4E22-A34F-780CB50621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X172" authorId="1" shapeId="0" xr:uid="{09C73174-CEFF-4EA7-B405-C53A560E034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</t>
        </r>
      </text>
    </comment>
    <comment ref="Y172" authorId="1" shapeId="0" xr:uid="{F5065D91-1C16-4080-BD2C-4931D7A229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72" authorId="1" shapeId="0" xr:uid="{FA4304DB-A833-4235-875E-1739642AD55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72" authorId="1" shapeId="0" xr:uid="{B5CE1417-B6CA-49FC-9777-016AFA8A9B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72" authorId="1" shapeId="0" xr:uid="{29762370-B139-461C-902C-C7C6D9E19F8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72" authorId="1" shapeId="0" xr:uid="{160236DC-BF50-42AB-845F-33A97AB9392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D172" authorId="1" shapeId="0" xr:uid="{D333018B-5A0F-45B3-A7B7-6BE03AE2081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E172" authorId="1" shapeId="0" xr:uid="{8F21CD53-E6A9-4E74-8F2E-61A8C54BAF2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72" authorId="1" shapeId="0" xr:uid="{9B10B1F9-732C-4351-9782-C12AF12304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72" authorId="1" shapeId="0" xr:uid="{A16BD3A1-EAA4-4D17-86DF-C9E6449F64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72" authorId="1" shapeId="0" xr:uid="{ED84F56A-6D64-429E-B7BC-D1A0F61697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72" authorId="1" shapeId="0" xr:uid="{13D62697-1BC2-4369-94C5-8C78E684F61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72" authorId="1" shapeId="0" xr:uid="{22B355BF-47BA-4364-A159-F37E10946D8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72" authorId="1" shapeId="0" xr:uid="{BE67A5C0-CC6A-4B9D-BA18-F2DD1C1A65E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72" authorId="1" shapeId="0" xr:uid="{B90B1EA7-F5C5-4EFF-9C1F-1F4FCDFA5AE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72" authorId="1" shapeId="0" xr:uid="{CF33DEE0-DE1D-487E-B568-B3912982DB2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72" authorId="1" shapeId="0" xr:uid="{B31B1374-83DF-4983-A3E3-EFAFB494B5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F173" authorId="1" shapeId="0" xr:uid="{378F49FE-414E-4269-B912-1A0D1FB31E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G173" authorId="1" shapeId="0" xr:uid="{37BFD658-931A-47FE-9E82-67A51E780D4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H173" authorId="1" shapeId="0" xr:uid="{0DBBDC08-CA77-4BCA-B761-F870A22849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I173" authorId="1" shapeId="0" xr:uid="{F929E408-0416-47F6-8C86-37B8B1D4E3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J173" authorId="1" shapeId="0" xr:uid="{E7F73290-8749-4135-B3B3-37E798FAB4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K173" authorId="1" shapeId="0" xr:uid="{BD0C426E-3872-42CE-8E30-24B52799F28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L173" authorId="1" shapeId="0" xr:uid="{531D3281-10D4-4889-933E-3D84274416C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M173" authorId="1" shapeId="0" xr:uid="{A97E6B05-96DF-4B92-A935-CA0B3812DD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N173" authorId="1" shapeId="0" xr:uid="{5BAA1725-4C95-4998-B680-692042B574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O173" authorId="1" shapeId="0" xr:uid="{DC2F9EB7-FB51-49CC-9A3B-A70DD8A4430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P173" authorId="1" shapeId="0" xr:uid="{C4E1E199-3D83-4A38-9453-DA6B3E0E85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Q173" authorId="1" shapeId="0" xr:uid="{D24D2FA1-D822-470A-A990-7E380F9653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R173" authorId="1" shapeId="0" xr:uid="{58458080-A6AD-4123-8991-C13D884AB4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S173" authorId="1" shapeId="0" xr:uid="{5A42B79A-6447-452E-AEB2-5605660C3D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T173" authorId="1" shapeId="0" xr:uid="{BABD4EA5-DF57-4098-9A88-0E90CEEDEE1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U173" authorId="1" shapeId="0" xr:uid="{A466C0BC-C547-4B49-B961-46046EFAC8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V173" authorId="1" shapeId="0" xr:uid="{1B11CBF2-10B1-4067-A1B2-560C99CB93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W173" authorId="1" shapeId="0" xr:uid="{2D355D09-28A4-4C12-A805-1F4154CD2B8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X173" authorId="1" shapeId="0" xr:uid="{7AA1BFA4-1FA6-444C-BC87-A88C20C1C7B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Y173" authorId="1" shapeId="0" xr:uid="{CD6E6923-6CDD-4368-AEFB-B943EC8C91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Z173" authorId="1" shapeId="0" xr:uid="{9F263E1E-A075-4170-99C0-68F9E645A8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A173" authorId="1" shapeId="0" xr:uid="{457C81DE-9560-466F-ABB1-48F3BFE54A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AB173" authorId="1" shapeId="0" xr:uid="{626D32FA-B024-44DD-9855-9AB36B11E6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C173" authorId="1" shapeId="0" xr:uid="{E8D8297A-41D7-436C-B8F0-32020D14297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D173" authorId="1" shapeId="0" xr:uid="{56EC4AE5-CCE5-4AF6-B170-53D88DC0E5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E173" authorId="1" shapeId="0" xr:uid="{B923C829-2A43-453B-AE2F-6774938F696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F173" authorId="1" shapeId="0" xr:uid="{726469E1-A4D7-4AAD-AFE4-684229F60DF8}">
      <text>
        <r>
          <rPr>
            <b/>
            <sz val="9"/>
            <color rgb="FF000000"/>
            <rFont val="Tahoma"/>
            <family val="2"/>
          </rPr>
          <t>Dereje Ketema Wolde: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Income distribution statistics</t>
        </r>
      </text>
    </comment>
    <comment ref="AG173" authorId="1" shapeId="0" xr:uid="{D2EA3D24-05F1-4DF5-B4D1-31D4003172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AH173" authorId="1" shapeId="0" xr:uid="{BB55CA81-2CE0-47A0-8D10-88DB15D1896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I173" authorId="1" shapeId="0" xr:uid="{56700664-54B2-4538-9FCF-14006B03CD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J173" authorId="1" shapeId="0" xr:uid="{7411ABA9-170D-47CC-B7BE-3C4540914E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K173" authorId="1" shapeId="0" xr:uid="{0365EAEE-2A7C-4113-8190-F3CD08FC92C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 and Households' consumption</t>
        </r>
      </text>
    </comment>
    <comment ref="AL173" authorId="1" shapeId="0" xr:uid="{8580C79B-67E3-4ABD-A212-0A759A3FFC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M173" authorId="1" shapeId="0" xr:uid="{01ED53FA-941D-406B-9FC9-956FCE36A73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distribution statistics</t>
        </r>
      </text>
    </comment>
    <comment ref="AN173" authorId="1" shapeId="0" xr:uid="{F92C45E9-7D48-40F3-8440-99C68D6277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V174" authorId="1" shapeId="0" xr:uid="{C24E580D-2B2E-4A5A-A484-4F13AB2A5F9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74" authorId="1" shapeId="0" xr:uid="{254520AE-2572-4CE2-AAC1-48033C90A4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74" authorId="1" shapeId="0" xr:uid="{6A26FDC6-79BA-4E90-9AB0-89AF698BAA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74" authorId="1" shapeId="0" xr:uid="{A0BB974D-7AD7-4488-8BA3-2F5DBB54D5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74" authorId="1" shapeId="0" xr:uid="{E7EED0EE-2CF4-4037-AC1F-FC10A1A2E5D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75" authorId="1" shapeId="0" xr:uid="{1E4E5EA1-47E7-460B-8F0A-334837B799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</t>
        </r>
      </text>
    </comment>
    <comment ref="Y175" authorId="1" shapeId="0" xr:uid="{7793D5FD-DA1D-41A3-81ED-ECA28C08ED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Z175" authorId="1" shapeId="0" xr:uid="{AF668D06-D30F-4B16-9D54-48DBDDD2D9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A175" authorId="1" shapeId="0" xr:uid="{217A685D-7758-4EC3-AAC7-856FA54950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B175" authorId="1" shapeId="0" xr:uid="{38FDF9D0-0DCC-4DAE-AC04-A3084A4A652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C175" authorId="1" shapeId="0" xr:uid="{5B15AA01-FC81-4BBD-A54B-E011FF70002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D175" authorId="1" shapeId="0" xr:uid="{32CA3B7F-B911-4373-BDFC-D2CBF0847B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E175" authorId="1" shapeId="0" xr:uid="{553E8AB3-0154-405A-9415-4712FB4410E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F175" authorId="1" shapeId="0" xr:uid="{30C63E6D-FD73-495F-A79E-E9FCAA3F1D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G175" authorId="1" shapeId="0" xr:uid="{904DB681-ECE8-40F5-B980-0D11DC63B69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H175" authorId="1" shapeId="0" xr:uid="{D6DE0666-B54A-4C12-A304-C9C0899D4AFD}">
      <text>
        <r>
          <rPr>
            <b/>
            <sz val="9"/>
            <color rgb="FF000000"/>
            <rFont val="Tahoma"/>
            <family val="2"/>
          </rPr>
          <t>Dereje Ketema Wolde: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Living Costs and Food Survey and Income and Living Conditions (EU-SILC)</t>
        </r>
      </text>
    </comment>
    <comment ref="AI175" authorId="1" shapeId="0" xr:uid="{594CCF4B-2575-4C83-8A37-1767BF7B37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J175" authorId="1" shapeId="0" xr:uid="{4D2E5DB1-6185-4563-BF5F-CAD6E97887B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K175" authorId="1" shapeId="0" xr:uid="{9CCD58D1-38F2-49F2-A439-AEE50BC3A2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L175" authorId="1" shapeId="0" xr:uid="{BD69C580-D4F8-47BD-A28D-D3E5EE5C99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M175" authorId="1" shapeId="0" xr:uid="{81CD4295-EBD1-4255-A5B5-D2999F95AB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and Income and Living Conditions (EU-SILC)</t>
        </r>
      </text>
    </comment>
    <comment ref="AN175" authorId="1" shapeId="0" xr:uid="{E4B14984-FE1A-45E5-B344-A805C31C9B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Living Costs and Food Survey </t>
        </r>
      </text>
    </comment>
    <comment ref="H176" authorId="1" shapeId="0" xr:uid="{B48EAAC3-5D2E-4207-92D5-A5538C4760D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O176" authorId="1" shapeId="0" xr:uid="{5019644C-81CA-4745-AB17-A1A34A6365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76" authorId="1" shapeId="0" xr:uid="{12EDF8E8-660A-4E87-BEF2-10FD0FDDB9A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76" authorId="1" shapeId="0" xr:uid="{2DF17DFA-1A2A-4495-9601-5C8DFBA357D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76" authorId="1" shapeId="0" xr:uid="{52639AF4-86A8-4CE1-97D7-1AA754FB0C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A176" authorId="1" shapeId="0" xr:uid="{6F9ADFE5-4A2F-40B5-8C60-EDE9F1B62E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B176" authorId="1" shapeId="0" xr:uid="{E526B300-F2A9-46DD-BECC-2FAB380615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C176" authorId="1" shapeId="0" xr:uid="{2C0932FB-4696-4E70-9FE9-FD16B6CAA9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D176" authorId="1" shapeId="0" xr:uid="{3849108E-ED31-446A-8069-5330AE9E31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76" authorId="1" shapeId="0" xr:uid="{9536D566-1F0C-4CFF-84E3-BD400DF1E32B}">
      <text>
        <r>
          <rPr>
            <b/>
            <sz val="9"/>
            <color rgb="FF000000"/>
            <rFont val="Tahoma"/>
            <family val="2"/>
          </rPr>
          <t>Dereje Ketema Wolde: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Income and Living Conditions (EU-SILC)</t>
        </r>
      </text>
    </comment>
    <comment ref="AF176" authorId="1" shapeId="0" xr:uid="{452CC90F-A9A7-458B-A895-E01C4CA4F0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76" authorId="1" shapeId="0" xr:uid="{2328AC5C-B6C5-4430-8AF8-55411ED63A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H176" authorId="1" shapeId="0" xr:uid="{4D776FE7-27ED-4B5B-B413-F138CA7621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 and Household Finance and Consumption Survey</t>
        </r>
      </text>
    </comment>
    <comment ref="AI176" authorId="1" shapeId="0" xr:uid="{F1833508-A9D5-4F0E-9EF8-7FEA0632CBD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76" authorId="1" shapeId="0" xr:uid="{A56450AE-0A00-4AC2-8431-8742F29365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76" authorId="1" shapeId="0" xr:uid="{75413169-03F0-4208-9495-8F9B885A6A6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76" authorId="1" shapeId="0" xr:uid="{F784E2BF-29E3-4E5C-819F-E76B5A7AD69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76" authorId="1" shapeId="0" xr:uid="{D30ADFA3-F3F9-4DFB-9A1F-741DA9D06B9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 and Household Finance and Consumption Survey</t>
        </r>
      </text>
    </comment>
    <comment ref="AN176" authorId="1" shapeId="0" xr:uid="{03A75327-8CE7-4CEE-ABCF-335C44CF5E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U177" authorId="1" shapeId="0" xr:uid="{32AF6D70-49CB-4D7B-94A9-9C6FA7A5516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</t>
        </r>
      </text>
    </comment>
    <comment ref="V177" authorId="1" shapeId="0" xr:uid="{85C5E8BB-0A55-4FFD-8CCB-13DC9E2311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</t>
        </r>
      </text>
    </comment>
    <comment ref="W177" authorId="1" shapeId="0" xr:uid="{D32D55E3-3626-4002-97E7-72074807569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</t>
        </r>
      </text>
    </comment>
    <comment ref="X177" authorId="1" shapeId="0" xr:uid="{904FC2DD-9CA6-4E8A-93C4-DA18D222FD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</t>
        </r>
      </text>
    </comment>
    <comment ref="Y177" authorId="1" shapeId="0" xr:uid="{4133612D-A2F7-461E-9420-A4DB2E3AF2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Z177" authorId="1" shapeId="0" xr:uid="{D7848670-183F-42E6-911C-35FDF63AD4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A177" authorId="1" shapeId="0" xr:uid="{E19CEF4E-9BC0-44E4-9B35-63B92DC96A0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B177" authorId="1" shapeId="0" xr:uid="{DF83167F-1ED9-491E-BD3F-FA7E8386EF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C177" authorId="1" shapeId="0" xr:uid="{135ED3E6-D850-498B-9C51-724164A6BB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D177" authorId="1" shapeId="0" xr:uid="{C77BD50E-2EC1-4857-A9BB-21B9D2EF8C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E177" authorId="1" shapeId="0" xr:uid="{AE9A866D-4AB4-4EF2-8A2E-FB8F75C6B24A}">
      <text>
        <r>
          <rPr>
            <b/>
            <sz val="9"/>
            <color rgb="FF000000"/>
            <rFont val="Tahoma"/>
            <family val="2"/>
          </rPr>
          <t>Dereje Ketema Wolde: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Household expenditure survey and Income and Living Conditions (EU-SILC)</t>
        </r>
      </text>
    </comment>
    <comment ref="AF177" authorId="1" shapeId="0" xr:uid="{018D10A6-20DC-4F96-8858-052349546A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G177" authorId="1" shapeId="0" xr:uid="{ECDC87C8-647C-48B1-BEFC-2821478FEB4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H177" authorId="1" shapeId="0" xr:uid="{430D70E1-2E7F-4714-A728-8EAC47200B2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Income and Living Conditions (EU-SILC)</t>
        </r>
      </text>
    </comment>
    <comment ref="AI177" authorId="1" shapeId="0" xr:uid="{F817574B-EDA2-4544-A569-BF907BBD197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77" authorId="1" shapeId="0" xr:uid="{19BEE49C-6F61-4FE3-B167-173533BE4F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K177" authorId="1" shapeId="0" xr:uid="{E20BD29C-50A9-450F-B025-4D9D36DAFE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F178" authorId="1" shapeId="0" xr:uid="{B697304F-8B8F-4DBD-B88F-7954EC7CDC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</t>
        </r>
      </text>
    </comment>
    <comment ref="AG178" authorId="1" shapeId="0" xr:uid="{23D2F87D-6FE7-4454-B8C8-BCB0484BA6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Household survey in Israel - long-term survey</t>
        </r>
      </text>
    </comment>
    <comment ref="AH178" authorId="1" shapeId="0" xr:uid="{4F34CCEE-94E4-4B61-9A6B-927C0D435E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Household survey in Israel - long-term survey</t>
        </r>
      </text>
    </comment>
    <comment ref="AI178" authorId="1" shapeId="0" xr:uid="{9258BA5E-0CC8-4FB1-9E36-1C52A74EAC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Household survey in Israel - long-term survey</t>
        </r>
      </text>
    </comment>
    <comment ref="AJ178" authorId="1" shapeId="0" xr:uid="{18D4597B-1178-4711-B510-679D2EC658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Household survey in Israel - long-term survey</t>
        </r>
      </text>
    </comment>
    <comment ref="AK178" authorId="1" shapeId="0" xr:uid="{7341300E-20A1-4055-B07A-BC82D41B67F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Household survey in Israel - long-term survey</t>
        </r>
      </text>
    </comment>
    <comment ref="AL178" authorId="1" shapeId="0" xr:uid="{0D2750B0-1152-4CD0-A0A2-F717FF3B0F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Expenditure Survey and Household survey in Israel - long-term survey</t>
        </r>
      </text>
    </comment>
    <comment ref="AM178" authorId="1" shapeId="0" xr:uid="{A03CD0FF-7D59-4DED-B36C-C9A6D5B57C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survey in Israel - long-term survey</t>
        </r>
      </text>
    </comment>
    <comment ref="AN178" authorId="1" shapeId="0" xr:uid="{DABA0755-E696-4306-8EDE-D15F0A8B8C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survey in Israel - long-term survey</t>
        </r>
      </text>
    </comment>
    <comment ref="R179" authorId="1" shapeId="0" xr:uid="{0BE9BD3F-85B4-40F2-8ED3-A7DA25213B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S179" authorId="1" shapeId="0" xr:uid="{78CD20AE-B530-4949-BCF5-1E5D1BC8D5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79" authorId="1" shapeId="0" xr:uid="{31C049DD-3361-40CB-8D7E-8041D6E8078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79" authorId="1" shapeId="0" xr:uid="{9E7ADF47-7289-4C3F-8C81-6FA6076F07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V179" authorId="1" shapeId="0" xr:uid="{981DD828-8F24-404D-BD53-D7BEC57529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W179" authorId="1" shapeId="0" xr:uid="{F66CFC9A-DCD3-4BDB-823B-09D4E1B6A26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79" authorId="1" shapeId="0" xr:uid="{E025150F-8B47-4CEB-B521-C0574DF1C10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79" authorId="1" shapeId="0" xr:uid="{39654669-C50E-4EBF-9D25-856817FE4D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79" authorId="1" shapeId="0" xr:uid="{E48B9381-1CD6-4BFF-9E23-89AAB765DF0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79" authorId="1" shapeId="0" xr:uid="{28270431-2CAD-4B1E-8E1E-692BA352A9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79" authorId="1" shapeId="0" xr:uid="{E404CF29-3FE6-427D-BD26-B48E71E074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79" authorId="1" shapeId="0" xr:uid="{8BAA19DC-E5D3-4321-9CD9-78A5C445FF9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79" authorId="1" shapeId="0" xr:uid="{9ED55441-7425-4BBC-B200-EDCD1CE673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79" authorId="1" shapeId="0" xr:uid="{266F35A3-9486-4957-A552-4D8A93F8D7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79" authorId="1" shapeId="0" xr:uid="{730A6BEB-8EB0-4695-A3A7-F4E13A77915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79" authorId="1" shapeId="0" xr:uid="{1669B4FE-98CF-495C-A2B2-01102660085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79" authorId="1" shapeId="0" xr:uid="{8EDF09BD-5B86-4052-852A-F70F9C3F6EF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79" authorId="1" shapeId="0" xr:uid="{B22626BD-92E8-4AE7-95ED-92A7DCF39A5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79" authorId="1" shapeId="0" xr:uid="{B9B43944-A15B-4637-9B29-27A2F02604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79" authorId="1" shapeId="0" xr:uid="{F0DA4027-EBC2-41FD-9510-5FD3FE58BFE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79" authorId="1" shapeId="0" xr:uid="{4B47C7F5-988B-4213-AFC0-09CB72BD88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79" authorId="1" shapeId="0" xr:uid="{A702E879-714D-438A-A749-3DCCA64E31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79" authorId="1" shapeId="0" xr:uid="{68E9D7AB-BC1A-4DB7-9084-3CBEB4C568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81" authorId="1" shapeId="0" xr:uid="{91F9F04D-C8C3-4069-9C30-CCDC649A580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Y181" authorId="1" shapeId="0" xr:uid="{7E2F744E-828B-42CC-86CF-5445D574216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Z181" authorId="1" shapeId="0" xr:uid="{6CD92443-1649-47A5-844C-D6F53AB146F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A181" authorId="1" shapeId="0" xr:uid="{D5593952-A49E-4EDE-B3EC-50EE13CAE8D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B181" authorId="1" shapeId="0" xr:uid="{AB8B9189-33E2-4DD0-8A7A-F0E636B5DDA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C181" authorId="1" shapeId="0" xr:uid="{37052014-5001-4FFF-8A57-5E872A5080B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D181" authorId="1" shapeId="0" xr:uid="{549C6376-3C86-44AD-A24B-9A554AE1A6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</t>
        </r>
      </text>
    </comment>
    <comment ref="AE181" authorId="1" shapeId="0" xr:uid="{C131C749-4C6C-4043-A6C6-0EFB423FC9A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F181" authorId="1" shapeId="0" xr:uid="{183B82C6-C5D1-46FB-A4CF-925AB9AA85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G181" authorId="1" shapeId="0" xr:uid="{9F01B156-510E-4FFB-833A-311AD5084BE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H181" authorId="1" shapeId="0" xr:uid="{3041B158-90B9-47C1-8BB2-61D171CE092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I181" authorId="1" shapeId="0" xr:uid="{AB128CFA-0CBD-4EE7-8D73-A5552660FD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J181" authorId="1" shapeId="0" xr:uid="{ED86535E-6221-4416-8AE2-8A60849E43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K181" authorId="1" shapeId="0" xr:uid="{F7D38E5F-655D-4B96-86E8-D5B3B556A18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L181" authorId="1" shapeId="0" xr:uid="{D0622729-1CC8-4A43-9414-C4B1A7B573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M181" authorId="1" shapeId="0" xr:uid="{CFC99111-0BEE-490D-940D-1C3147BA96B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N181" authorId="1" shapeId="0" xr:uid="{E0982A30-AB15-4560-A35C-93369BCB44D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AO181" authorId="1" shapeId="0" xr:uid="{A958875F-063F-4634-93EE-162D85E183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Income and Expenditure Survey/ Survey of Household Finances and Living Conditions</t>
        </r>
      </text>
    </comment>
    <comment ref="F183" authorId="1" shapeId="0" xr:uid="{F5F66F40-F4FC-41A2-9E69-17130C45D1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G183" authorId="1" shapeId="0" xr:uid="{503AE092-50E4-42C5-98BD-1D275575B39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H183" authorId="1" shapeId="0" xr:uid="{EFBF5854-A138-4D8F-918F-F515C8B346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I183" authorId="1" shapeId="0" xr:uid="{30A83C75-32D5-4620-86AF-DF557449CD8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J183" authorId="1" shapeId="0" xr:uid="{B0A9A8B2-FEC6-46C5-90A8-4FFE2F1741E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K183" authorId="1" shapeId="0" xr:uid="{3E5E556A-0DF1-4B6F-BD19-F5884552D7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L183" authorId="1" shapeId="0" xr:uid="{B4250033-AF51-47F5-B263-BB5F83FE7A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M183" authorId="1" shapeId="0" xr:uid="{0906CCE4-78B7-4F59-9FB9-61247C3292E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N183" authorId="1" shapeId="0" xr:uid="{51C779AE-F057-429A-9899-C0AC453286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O183" authorId="1" shapeId="0" xr:uid="{FB5E7392-A99A-4E2D-B59C-77F749EE7C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P183" authorId="1" shapeId="0" xr:uid="{91E400BF-3241-4AE0-88F5-49448CB138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Q183" authorId="1" shapeId="0" xr:uid="{1D330A30-DD51-4BCF-990A-2067CC0F59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R183" authorId="1" shapeId="0" xr:uid="{0FE68C39-3FC9-45C5-B1D3-3DFF0D11D7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S183" authorId="1" shapeId="0" xr:uid="{B7FF573F-E7A0-47CE-A501-49944F01FF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83" authorId="1" shapeId="0" xr:uid="{D0CC9701-E822-4705-90BA-F18FCB0232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83" authorId="1" shapeId="0" xr:uid="{5B46FCBA-2570-475C-9A6E-64F3FCEFCC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V183" authorId="1" shapeId="0" xr:uid="{18EE5B81-9885-42A4-84B6-1B3EC00B37E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W183" authorId="1" shapeId="0" xr:uid="{BD4D83E0-3431-4389-B84E-3C04D5E60BD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83" authorId="1" shapeId="0" xr:uid="{B5592FC4-2B51-4F0C-ADA8-C3CA4D8EA2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83" authorId="1" shapeId="0" xr:uid="{F2DA3C43-479C-47BF-9EFE-E6362617206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83" authorId="1" shapeId="0" xr:uid="{CF4B1529-0FD9-458F-84BB-7C0B85B475D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83" authorId="1" shapeId="0" xr:uid="{C742AA25-4707-4781-8EBC-C94673C0B1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83" authorId="1" shapeId="0" xr:uid="{379029AB-3179-46F2-A885-7A8FA844EB3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83" authorId="1" shapeId="0" xr:uid="{ABD872D0-02F2-4A60-A388-4B7E7789EE9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83" authorId="1" shapeId="0" xr:uid="{02D62590-6787-4BC0-ABDD-C59761EE1F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83" authorId="1" shapeId="0" xr:uid="{061D6FC3-0B17-4B37-BE4B-31D2E433C46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83" authorId="1" shapeId="0" xr:uid="{D26F6BE8-CE18-4784-A2E7-B057F3971BA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83" authorId="1" shapeId="0" xr:uid="{CF11DA8A-6394-431E-B952-EAA3CFFE02D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83" authorId="1" shapeId="0" xr:uid="{84DF6B37-A4FC-41FA-9255-2C9EC61A429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I183" authorId="1" shapeId="0" xr:uid="{F5AF0A31-844B-487E-A557-9B23E062E5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J183" authorId="1" shapeId="0" xr:uid="{740DF547-29BB-4B11-B1D6-15F72B28F1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83" authorId="1" shapeId="0" xr:uid="{33CE9596-6F4D-4388-B175-95F95120E99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L183" authorId="1" shapeId="0" xr:uid="{6220292C-FE0D-4D76-BABD-4B2AA34F2F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M183" authorId="1" shapeId="0" xr:uid="{E2082891-940E-4320-A2B3-48BA4428B3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83" authorId="1" shapeId="0" xr:uid="{6950F522-CC54-46A0-AA98-E18E683038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84" authorId="1" shapeId="0" xr:uid="{4D85F701-9B93-42C6-A5EA-76DFE4EFFDF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Z184" authorId="1" shapeId="0" xr:uid="{7DB54859-88C9-4AFB-A23B-88084F3190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A184" authorId="1" shapeId="0" xr:uid="{F8E1AE6B-D43E-4448-AA90-D22BE89E36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B184" authorId="1" shapeId="0" xr:uid="{D900716E-FBD2-4FD9-9C0F-CD3AA403C3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C184" authorId="1" shapeId="0" xr:uid="{09A348D1-5284-471C-B260-326656E83D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84" authorId="1" shapeId="0" xr:uid="{B2679833-C638-45B3-A977-2E8F24C04C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E184" authorId="1" shapeId="0" xr:uid="{8F98EB03-A810-4396-8431-4F19AEFA14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F184" authorId="1" shapeId="0" xr:uid="{AC5402B7-DF74-414E-8DCE-34BADB1312C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84" authorId="1" shapeId="0" xr:uid="{25965D75-FFBE-4676-8861-2662436C6E5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H184" authorId="1" shapeId="0" xr:uid="{23C854F4-DBBC-4DB6-881B-153FA96FBBE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84" authorId="1" shapeId="0" xr:uid="{8EC4BFA2-BD2E-48F7-9715-88BC0385EE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84" authorId="1" shapeId="0" xr:uid="{B719AF4F-15D4-4073-AE5C-E5A7F1B3D9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84" authorId="1" shapeId="0" xr:uid="{A7BB2C4F-8B44-4C23-910F-7C9C8A4BCB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84" authorId="1" shapeId="0" xr:uid="{5868ED62-474D-425D-87B3-94A004A3C8F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84" authorId="1" shapeId="0" xr:uid="{ACE1F4ED-8FA7-4FF6-859C-D5B6844CA7E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84" authorId="1" shapeId="0" xr:uid="{399DB0AF-651D-4770-875A-41A9FC8C92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I185" authorId="1" shapeId="0" xr:uid="{84937355-A5C4-40BC-AB67-8537016AFD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O185" authorId="1" shapeId="0" xr:uid="{287B4F18-5971-4E94-AA6B-931FBB9409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85" authorId="1" shapeId="0" xr:uid="{33683979-26C6-474C-9F14-0649B7157E7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Z185" authorId="1" shapeId="0" xr:uid="{7CFD3A6C-E580-486E-AFC2-8F77628BF77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85" authorId="1" shapeId="0" xr:uid="{958130E4-BF2E-4F57-B6A2-78D837DA50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B185" authorId="1" shapeId="0" xr:uid="{FB1F8B0C-CB94-4BF3-9F5B-2AB8361E13C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C185" authorId="1" shapeId="0" xr:uid="{E7370946-BEF6-4BFA-81F1-DFAEDEDD35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D185" authorId="1" shapeId="0" xr:uid="{E0209045-E74E-436F-8CCC-AAB10D47AD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E185" authorId="1" shapeId="0" xr:uid="{D25022DC-4A73-4E6D-8994-18B2FB33F23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85" authorId="1" shapeId="0" xr:uid="{626EEF36-E0F3-49B4-9A84-40E0F019120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85" authorId="1" shapeId="0" xr:uid="{7E366A4C-5754-47C3-97F1-99DC46B8A7C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H185" authorId="1" shapeId="0" xr:uid="{7EB9BE56-3EF3-4B2C-9C44-330459AF0BF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85" authorId="1" shapeId="0" xr:uid="{8D35AB2E-2DC3-4DFF-8989-17EE6DF105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85" authorId="1" shapeId="0" xr:uid="{E7B4C6BD-510F-4A9C-BE3B-B168A59F189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85" authorId="1" shapeId="0" xr:uid="{13B86150-1ADC-41E9-8D0B-492392AD5B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85" authorId="1" shapeId="0" xr:uid="{651AC6E6-BB1F-4792-A044-52961DED10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85" authorId="1" shapeId="0" xr:uid="{6A50882B-15C1-4F6F-BB77-6C575625CA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85" authorId="1" shapeId="0" xr:uid="{FCB35446-C56E-422A-8287-CEFA02832A8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F186" authorId="1" shapeId="0" xr:uid="{19598432-CF88-4D39-A677-DAB132DFEDC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G186" authorId="1" shapeId="0" xr:uid="{323DA922-32F1-48A5-A91B-F304AE94093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H186" authorId="1" shapeId="0" xr:uid="{E3DC0D65-70C1-4E38-B287-2B486F5C4BF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I186" authorId="1" shapeId="0" xr:uid="{9898889A-940E-4022-80CC-FBB0A6BC48E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J186" authorId="1" shapeId="0" xr:uid="{FA000324-A1B0-4522-A100-85C6B596922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K186" authorId="1" shapeId="0" xr:uid="{06D17175-6050-4A05-9747-99FF0BF7C47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L186" authorId="1" shapeId="0" xr:uid="{3B146D59-BACA-41C9-B4CB-51848FCCE6A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M186" authorId="1" shapeId="0" xr:uid="{7441FE92-D2A1-4D1C-A21D-D4BE3A31E43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N186" authorId="1" shapeId="0" xr:uid="{3769ECCB-3067-4AFD-9D0E-65843951AA2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O186" authorId="1" shapeId="0" xr:uid="{EB98A2CA-9085-4E9F-B5FC-55F5DF9B2EB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P186" authorId="1" shapeId="0" xr:uid="{7588176E-0F92-49A8-B04E-081587267BD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Q186" authorId="1" shapeId="0" xr:uid="{C085FC24-E3BB-4CE7-9B95-CA1586C621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R186" authorId="1" shapeId="0" xr:uid="{2208EC65-6C41-461F-9F16-4E390F33E46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S186" authorId="1" shapeId="0" xr:uid="{72A770FB-FCDA-4A3B-88E2-C2B34CDC2C3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86" authorId="1" shapeId="0" xr:uid="{7B9336AC-38BA-4675-A393-7BA59814F3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86" authorId="1" shapeId="0" xr:uid="{B429AC18-431C-41E1-851A-272660CD98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V186" authorId="1" shapeId="0" xr:uid="{2ED48586-758D-44CE-B1F2-2DA99EBABE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W186" authorId="1" shapeId="0" xr:uid="{8A99BC25-942C-4EE8-9B90-9EB1E0C0DC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86" authorId="1" shapeId="0" xr:uid="{9F24397B-354B-4C49-9A25-336069E06FA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86" authorId="1" shapeId="0" xr:uid="{29104654-244E-4E35-9D66-DA46E6F50C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Z186" authorId="1" shapeId="0" xr:uid="{7E74AE69-4966-4E52-BE67-F6C93AAF1A9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86" authorId="1" shapeId="0" xr:uid="{232F8371-EAE5-4FB2-AF3A-3FA5262F612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86" authorId="1" shapeId="0" xr:uid="{25D7AD3B-2A3F-4B05-BB78-156643BEFCC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86" authorId="1" shapeId="0" xr:uid="{4C70205E-73A2-46EE-9C80-6F6A972537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86" authorId="1" shapeId="0" xr:uid="{0789CD7F-8B5C-47BF-9CB1-DFD1A4C2E3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86" authorId="1" shapeId="0" xr:uid="{90149EB6-46C0-4809-977B-0AEE9B89EA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86" authorId="1" shapeId="0" xr:uid="{18F48325-A016-4E2B-8831-9DB05B5940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86" authorId="1" shapeId="0" xr:uid="{D703CE6D-54EF-4FD1-8A02-CC77FCC6D1E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86" authorId="1" shapeId="0" xr:uid="{10CAE3AF-FCE6-4E5D-9A24-597122E6C89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86" authorId="1" shapeId="0" xr:uid="{CF04B22C-67F7-4386-93A2-57DE5B9D31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86" authorId="1" shapeId="0" xr:uid="{7EF674BF-DCE7-4E34-A5F2-60B510716B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K186" authorId="1" shapeId="0" xr:uid="{D2BBDD75-6E42-4671-ADD9-87709936CF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86" authorId="1" shapeId="0" xr:uid="{10B2FE6C-E503-44A0-8B29-8DADAD71D31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86" authorId="1" shapeId="0" xr:uid="{D18F9637-073A-4383-8DE4-A55041FED57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86" authorId="1" shapeId="0" xr:uid="{BD40608A-88EA-4348-B810-B113571AAA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O188" authorId="1" shapeId="0" xr:uid="{DCA1174B-00E0-4335-94F5-4420A4B95B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88" authorId="1" shapeId="0" xr:uid="{21671095-13C1-4690-93A3-CBED2638EF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88" authorId="1" shapeId="0" xr:uid="{7FE257B3-1835-4748-B855-BEAC2F803A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Z188" authorId="1" shapeId="0" xr:uid="{F9EFFB48-4B89-412A-A472-07A8A99F76F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88" authorId="1" shapeId="0" xr:uid="{BB8516DD-0D29-4461-90F7-507876F246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B188" authorId="1" shapeId="0" xr:uid="{79A3E93F-9A29-47A6-9A49-33D3FA0AE7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C188" authorId="1" shapeId="0" xr:uid="{D6876EE1-8F53-4C3D-AE9D-C3E0D08E29F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D188" authorId="1" shapeId="0" xr:uid="{4922F20F-DF30-4DAB-846B-4F0063486B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E188" authorId="1" shapeId="0" xr:uid="{7ECFABA3-9545-4DC9-BE23-993AFA3ED7C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88" authorId="1" shapeId="0" xr:uid="{EAF2EE41-0ACE-4C77-9811-714E470BD8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88" authorId="1" shapeId="0" xr:uid="{506A4ACD-EF5C-4438-9593-796A076DAF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H188" authorId="1" shapeId="0" xr:uid="{5751C45A-8298-4CA0-8F6F-A4ED5FB6E5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88" authorId="1" shapeId="0" xr:uid="{83D0991E-A349-449A-8B9B-58E03658C2A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88" authorId="1" shapeId="0" xr:uid="{BFDA8506-5380-4E84-A96D-7F557262CE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88" authorId="1" shapeId="0" xr:uid="{0B1B65D7-21B9-4161-B2EB-155E73EE02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88" authorId="1" shapeId="0" xr:uid="{D96CE460-EF01-43FF-92E4-812DCD37BD0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88" authorId="1" shapeId="0" xr:uid="{4CA0C612-12AD-4065-8718-020A7EF5B30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88" authorId="1" shapeId="0" xr:uid="{4AA53973-F383-4283-B6C9-798217A1C2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F191" authorId="1" shapeId="0" xr:uid="{C5DBA61F-2BBF-4A16-A19A-1873CBF2A98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G191" authorId="1" shapeId="0" xr:uid="{B588AF7F-2854-4343-B8B4-C7F69ECCC0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H191" authorId="1" shapeId="0" xr:uid="{2266FA05-4731-4687-B423-8BF26FE5173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I191" authorId="1" shapeId="0" xr:uid="{C2531F59-38D6-498C-9917-C7B0D908B4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J191" authorId="1" shapeId="0" xr:uid="{48D64E70-9DEC-4E67-B262-DFF71F065D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K191" authorId="1" shapeId="0" xr:uid="{09EAE7A8-E90C-486A-8025-A8577E9DD6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L191" authorId="1" shapeId="0" xr:uid="{B99BA7D1-B26B-4678-9E0C-6EAC949A5F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M191" authorId="1" shapeId="0" xr:uid="{EB4DEE8A-6D2E-4A81-BF08-307FB2CEDA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N191" authorId="1" shapeId="0" xr:uid="{83C2F26D-30D7-47F4-8592-EF2A8F1D9E1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O191" authorId="1" shapeId="0" xr:uid="{51F48801-64C8-4C69-9180-B2A33CE0E7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P191" authorId="1" shapeId="0" xr:uid="{197137C2-28B4-4071-B836-F270DA7CFF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Q191" authorId="1" shapeId="0" xr:uid="{F22E3839-D3E9-424A-949D-E0ED94CF07E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R191" authorId="1" shapeId="0" xr:uid="{527AFD39-C23D-4DB2-85DB-0E8FE83F94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S191" authorId="1" shapeId="0" xr:uid="{3549CCE2-65AA-45C0-80C7-3D47051B6D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91" authorId="1" shapeId="0" xr:uid="{0E2988D5-3050-4DF1-B4F6-50940F8A5FB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91" authorId="1" shapeId="0" xr:uid="{38EF61AE-39E4-45E1-BC64-427AE16F53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V191" authorId="1" shapeId="0" xr:uid="{BCDE7AEC-F92A-48EF-A8B6-D56D78E291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W191" authorId="1" shapeId="0" xr:uid="{BE04C843-66FA-429E-ACB8-93267B422C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91" authorId="1" shapeId="0" xr:uid="{3CBA1716-6219-4D85-A190-8D0765A48E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91" authorId="1" shapeId="0" xr:uid="{F79B3E68-1C7B-4D6E-868C-49473E1D474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Z191" authorId="1" shapeId="0" xr:uid="{7FD5CB94-AC5A-44B5-B03E-02B08827AB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91" authorId="1" shapeId="0" xr:uid="{F99153F9-22D9-4D04-ACC5-D0E75470B89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91" authorId="1" shapeId="0" xr:uid="{404ABB57-8317-4FD2-8E17-E8CAA1D90C3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91" authorId="1" shapeId="0" xr:uid="{8EB42D04-5911-429D-91F0-E3FA6680E0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91" authorId="1" shapeId="0" xr:uid="{4B108A26-E06B-4BF5-9F8C-5E93E588FDD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91" authorId="1" shapeId="0" xr:uid="{FBF9ABE5-6AB7-4F30-A92C-295D4E9A60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91" authorId="1" shapeId="0" xr:uid="{5606E31A-BE9B-45FE-9AC6-DBEE1A0135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G191" authorId="1" shapeId="0" xr:uid="{43968D4B-9A3D-4A1F-A25A-8D63475C36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91" authorId="1" shapeId="0" xr:uid="{8C28BC54-EB5E-43D4-B5D5-9C8B157AE56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91" authorId="1" shapeId="0" xr:uid="{269C70D9-BCDD-4BBF-A975-FCEBAC3AB2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91" authorId="1" shapeId="0" xr:uid="{2B8298B9-A460-4FB8-A8C2-C071DDAF22A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K191" authorId="1" shapeId="0" xr:uid="{F02C744D-A7FD-4D31-BA74-5735B14BE7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91" authorId="1" shapeId="0" xr:uid="{AC69276C-5021-403F-9577-C7678F7229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91" authorId="1" shapeId="0" xr:uid="{AA0CB7D6-CA89-4BBB-A9D2-9DDBF3B5B2C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N191" authorId="1" shapeId="0" xr:uid="{B944475C-BEBD-4CE4-A38B-BBD58E9807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F192" authorId="1" shapeId="0" xr:uid="{A51C2637-0C1F-4441-93F8-9073CE04B0A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G192" authorId="1" shapeId="0" xr:uid="{DF3CE130-A2A4-479E-908D-0A1EC7B58B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H192" authorId="1" shapeId="0" xr:uid="{D8CB5311-3B30-4D8B-B632-28C7BD9A4A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I192" authorId="1" shapeId="0" xr:uid="{6E5712BF-AC87-4CF4-87BC-DE08DA959F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J192" authorId="1" shapeId="0" xr:uid="{6C133F0C-626B-4F8D-9018-07D28ADD3C8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K192" authorId="1" shapeId="0" xr:uid="{597F9F42-0504-45D6-B67E-6E3D80EE44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L192" authorId="1" shapeId="0" xr:uid="{B8E59D84-2ADA-420E-95D1-A09C996FF1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M192" authorId="1" shapeId="0" xr:uid="{A28E6FAA-9DC7-441F-917C-08E0146003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N192" authorId="1" shapeId="0" xr:uid="{1EF52E66-6750-40D5-AD86-A549555028A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O192" authorId="1" shapeId="0" xr:uid="{B1EAF5A6-BC29-4120-8D93-4E417BC5F3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P192" authorId="1" shapeId="0" xr:uid="{FDBA7C76-EC93-4E7C-8032-3E2F85226F6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Q192" authorId="1" shapeId="0" xr:uid="{259C7351-05C3-49A6-BA4C-0F87FB80C5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R192" authorId="1" shapeId="0" xr:uid="{56CC109E-FCA6-4B56-9DE1-78067439F27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S192" authorId="1" shapeId="0" xr:uid="{702836CC-F3E4-480C-BA29-C5E08FB7257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T192" authorId="1" shapeId="0" xr:uid="{4D20EA7D-CF54-4624-BE7C-C8676427FE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U192" authorId="1" shapeId="0" xr:uid="{C623847A-1258-4DCD-B647-0592F05634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V192" authorId="1" shapeId="0" xr:uid="{DEE13D1F-B4FD-4348-865E-F1E0692DC06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W192" authorId="1" shapeId="0" xr:uid="{9EA1F075-48C7-4C06-AC13-915085C65A6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X192" authorId="1" shapeId="0" xr:uid="{4CC021DE-30A6-4E7C-AD0F-11559E7ACE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</t>
        </r>
      </text>
    </comment>
    <comment ref="Y192" authorId="1" shapeId="0" xr:uid="{2A9FFA23-002C-442E-B763-AFE5E681CCF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Z192" authorId="1" shapeId="0" xr:uid="{50CFE5D8-AFA0-478E-A14F-4F552097268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A192" authorId="1" shapeId="0" xr:uid="{AA27C591-0202-4624-9E45-B11EC8EB88A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B192" authorId="1" shapeId="0" xr:uid="{25093495-16A6-4DD2-9442-B9E4771B752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C192" authorId="1" shapeId="0" xr:uid="{9B57764A-C2A5-4C3C-B19A-9CFF5A65288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D192" authorId="1" shapeId="0" xr:uid="{75AA11CC-EF7D-417F-92CA-C910FE8C57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E192" authorId="1" shapeId="0" xr:uid="{A6ACACBC-58C2-431B-99E9-B768F659E54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F192" authorId="1" shapeId="0" xr:uid="{ECAEF9BE-13BE-4DE2-9BC2-D8F182FA02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G192" authorId="1" shapeId="0" xr:uid="{016A836C-7CA0-4A67-A3DB-097D825812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Household Budget Survey and Income and Living Conditions (EU-SILC)</t>
        </r>
      </text>
    </comment>
    <comment ref="AH192" authorId="1" shapeId="0" xr:uid="{2775B6F3-F945-401B-8913-050737E143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I192" authorId="1" shapeId="0" xr:uid="{0838EABC-9A3A-4AE6-ACA9-0BCE638D6E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J192" authorId="1" shapeId="0" xr:uid="{535F09DE-D719-4C87-A0B2-52BE3B8340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K192" authorId="1" shapeId="0" xr:uid="{437FE702-6FA0-40AA-8CA6-534B6BBD810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L192" authorId="1" shapeId="0" xr:uid="{F2B6B935-5045-40DF-8B1D-C7CA2E5D169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M192" authorId="1" shapeId="0" xr:uid="{80BFF004-C103-426D-AD9E-29A2DCB3136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  <comment ref="AN192" authorId="1" shapeId="0" xr:uid="{4C5A953B-2439-4A37-B5E7-8BCE4CE3577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Income and Living Conditions (EU-SILC)</t>
        </r>
      </text>
    </comment>
  </commentList>
</comments>
</file>

<file path=xl/sharedStrings.xml><?xml version="1.0" encoding="utf-8"?>
<sst xmlns="http://schemas.openxmlformats.org/spreadsheetml/2006/main" count="1155" uniqueCount="543">
  <si>
    <t>Povcal Net</t>
  </si>
  <si>
    <t>NSO websites</t>
  </si>
  <si>
    <t>Survey Scorecard</t>
  </si>
  <si>
    <t>Microdata library</t>
  </si>
  <si>
    <t>#</t>
  </si>
  <si>
    <t>Code</t>
  </si>
  <si>
    <t>Country</t>
  </si>
  <si>
    <t>Series</t>
  </si>
  <si>
    <t>Time Scale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</si>
  <si>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</si>
  <si>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</si>
  <si>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</si>
  <si>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</si>
  <si>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</si>
  <si>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</si>
  <si>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</si>
  <si>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</si>
  <si>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</si>
  <si>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</si>
  <si>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</si>
  <si>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</si>
  <si>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</si>
  <si>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</si>
  <si>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</si>
  <si>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</si>
  <si>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</si>
  <si>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</si>
  <si>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</si>
  <si>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</si>
  <si>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</si>
  <si>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</si>
  <si>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</si>
  <si>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</si>
  <si>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</si>
  <si>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</si>
  <si>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</si>
  <si>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</si>
  <si>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</si>
  <si>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</si>
  <si>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</si>
  <si>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</si>
  <si>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</si>
  <si>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</si>
  <si>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</si>
  <si>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</si>
  <si>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</si>
  <si>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</si>
  <si>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YR2023</t>
  </si>
  <si>
    <t>YR2024</t>
  </si>
  <si>
    <t>Comments</t>
  </si>
  <si>
    <t>Houseshold survey on income/ consumption/ expenditure/ budget/ Integrated Survey</t>
  </si>
  <si>
    <t>AFG</t>
  </si>
  <si>
    <t>Afghanistan</t>
  </si>
  <si>
    <t>SC.SVY.HOUS.ZS</t>
  </si>
  <si>
    <t>ALB</t>
  </si>
  <si>
    <t>Albania</t>
  </si>
  <si>
    <t>DZA</t>
  </si>
  <si>
    <t>Algeria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</si>
  <si>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</si>
  <si>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</si>
  <si>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</si>
  <si>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</si>
  <si>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</si>
  <si>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</si>
  <si>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</si>
  <si>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</si>
  <si>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AZE</t>
  </si>
  <si>
    <t>Azerbaijan</t>
  </si>
  <si>
    <t>BGD</t>
  </si>
  <si>
    <t>Bangladesh</t>
  </si>
  <si>
    <t>BLR</t>
  </si>
  <si>
    <t>Belarus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</si>
  <si>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</si>
  <si>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</si>
  <si>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</si>
  <si>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</si>
  <si>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</si>
  <si>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</si>
  <si>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</si>
  <si>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</si>
  <si>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</si>
  <si>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</si>
  <si>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</si>
  <si>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</si>
  <si>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</si>
  <si>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</si>
  <si>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</si>
  <si>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</si>
  <si>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</si>
  <si>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</si>
  <si>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</si>
  <si>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</si>
  <si>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</si>
  <si>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</si>
  <si>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</si>
  <si>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</si>
  <si>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</si>
  <si>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</si>
  <si>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</si>
  <si>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</si>
  <si>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</si>
  <si>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</si>
  <si>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</si>
  <si>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</si>
  <si>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</si>
  <si>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</si>
  <si>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</si>
  <si>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</si>
  <si>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</si>
  <si>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</si>
  <si>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</si>
  <si>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</si>
  <si>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</si>
  <si>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</si>
  <si>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</si>
  <si>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</si>
  <si>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</si>
  <si>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</si>
  <si>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</si>
  <si>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</si>
  <si>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</si>
  <si>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</si>
  <si>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</si>
  <si>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</si>
  <si>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</si>
  <si>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</si>
  <si>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</si>
  <si>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</si>
  <si>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</si>
  <si>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</si>
  <si>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</si>
  <si>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</si>
  <si>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</si>
  <si>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</si>
  <si>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</si>
  <si>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</si>
  <si>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SWZ</t>
  </si>
  <si>
    <t>Eswatini</t>
  </si>
  <si>
    <t>ETH</t>
  </si>
  <si>
    <t>Ethiopia</t>
  </si>
  <si>
    <t>FJI</t>
  </si>
  <si>
    <t>Fiji</t>
  </si>
  <si>
    <t>GAB</t>
  </si>
  <si>
    <t>Gabon</t>
  </si>
  <si>
    <t>GMB</t>
  </si>
  <si>
    <t>Gambia, The</t>
  </si>
  <si>
    <t>GEO</t>
  </si>
  <si>
    <t>Georgia</t>
  </si>
  <si>
    <t>GHA</t>
  </si>
  <si>
    <t>Ghana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</si>
  <si>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</si>
  <si>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</si>
  <si>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</si>
  <si>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</si>
  <si>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</si>
  <si>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</si>
  <si>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</si>
  <si>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</si>
  <si>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</si>
  <si>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</si>
  <si>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</si>
  <si>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</si>
  <si>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</si>
  <si>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</si>
  <si>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</si>
  <si>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</si>
  <si>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</si>
  <si>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</si>
  <si>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</si>
  <si>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</si>
  <si>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</si>
  <si>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</si>
  <si>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JAM</t>
  </si>
  <si>
    <t>Jamaica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</si>
  <si>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</si>
  <si>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</si>
  <si>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</si>
  <si>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</si>
  <si>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</si>
  <si>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</si>
  <si>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</si>
  <si>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</si>
  <si>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XKX</t>
  </si>
  <si>
    <t>Kosovo</t>
  </si>
  <si>
    <t>KGZ</t>
  </si>
  <si>
    <t>Kyrgyz Republic</t>
  </si>
  <si>
    <t>LAO</t>
  </si>
  <si>
    <t>Lao PDR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</si>
  <si>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</si>
  <si>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</si>
  <si>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</si>
  <si>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</si>
  <si>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</si>
  <si>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</si>
  <si>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</si>
  <si>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</si>
  <si>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MKD</t>
  </si>
  <si>
    <t>Macedonia, FYR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</si>
  <si>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</si>
  <si>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</si>
  <si>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</si>
  <si>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</si>
  <si>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</si>
  <si>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</si>
  <si>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</si>
  <si>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</si>
  <si>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</si>
  <si>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</si>
  <si>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</si>
  <si>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</si>
  <si>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</si>
  <si>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</si>
  <si>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</si>
  <si>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</si>
  <si>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</si>
  <si>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</si>
  <si>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</si>
  <si>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</si>
  <si>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</si>
  <si>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</si>
  <si>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</si>
  <si>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</si>
  <si>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</si>
  <si>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</si>
  <si>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</si>
  <si>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</si>
  <si>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</si>
  <si>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</si>
  <si>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</si>
  <si>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</si>
  <si>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</si>
  <si>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</si>
  <si>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</si>
  <si>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</si>
  <si>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</si>
  <si>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</si>
  <si>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NIC</t>
  </si>
  <si>
    <t>Nicaragua</t>
  </si>
  <si>
    <t>NER</t>
  </si>
  <si>
    <t>Niger</t>
  </si>
  <si>
    <t>NGA</t>
  </si>
  <si>
    <t>Nigeria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</si>
  <si>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</si>
  <si>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</si>
  <si>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</si>
  <si>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</si>
  <si>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</si>
  <si>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</si>
  <si>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</si>
  <si>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</si>
  <si>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</si>
  <si>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</si>
  <si>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</si>
  <si>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</si>
  <si>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</si>
  <si>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</si>
  <si>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</si>
  <si>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</si>
  <si>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</si>
  <si>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</si>
  <si>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</si>
  <si>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</si>
  <si>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</si>
  <si>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</si>
  <si>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</si>
  <si>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</si>
  <si>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STP</t>
  </si>
  <si>
    <t>Sao Tome and Principe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</si>
  <si>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</si>
  <si>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</si>
  <si>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</si>
  <si>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</si>
  <si>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</si>
  <si>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</si>
  <si>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</si>
  <si>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</si>
  <si>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</si>
  <si>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</si>
  <si>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</si>
  <si>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</si>
  <si>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</si>
  <si>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</si>
  <si>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</si>
  <si>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</si>
  <si>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LKA</t>
  </si>
  <si>
    <t>Sri Lanka</t>
  </si>
  <si>
    <t>KNA</t>
  </si>
  <si>
    <t>St. Kitts and Nevis</t>
  </si>
  <si>
    <t>LCA</t>
  </si>
  <si>
    <t>St. Lucia</t>
  </si>
  <si>
    <t>VCT</t>
  </si>
  <si>
    <t>St. Vincent and the Grenadines</t>
  </si>
  <si>
    <t>SDN</t>
  </si>
  <si>
    <t>Sudan</t>
  </si>
  <si>
    <t>SUR</t>
  </si>
  <si>
    <t>Suriname</t>
  </si>
  <si>
    <t>SYR</t>
  </si>
  <si>
    <t>Syrian Arab Republic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</si>
  <si>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</si>
  <si>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</si>
  <si>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</si>
  <si>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</si>
  <si>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</si>
  <si>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</si>
  <si>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</si>
  <si>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</si>
  <si>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</si>
  <si>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</si>
  <si>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</si>
  <si>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</si>
  <si>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</si>
  <si>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</si>
  <si>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https://surveyscorecardqa.worldbank.org/index.php/survey/scorecard/372</t>
  </si>
  <si>
    <t>TUN</t>
  </si>
  <si>
    <t>Tunisia</t>
  </si>
  <si>
    <t>TUR</t>
  </si>
  <si>
    <t>Turkey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</si>
  <si>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</si>
  <si>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</si>
  <si>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</si>
  <si>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</si>
  <si>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</si>
  <si>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</si>
  <si>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</si>
  <si>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</si>
  <si>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URY</t>
  </si>
  <si>
    <t>Uruguay</t>
  </si>
  <si>
    <t>UZB</t>
  </si>
  <si>
    <t>Uzbekistan</t>
  </si>
  <si>
    <t>VUT</t>
  </si>
  <si>
    <t>Vanuatu</t>
  </si>
  <si>
    <t>VEN</t>
  </si>
  <si>
    <t>Venezuela, RB</t>
  </si>
  <si>
    <t>VNM</t>
  </si>
  <si>
    <t>Vietnam</t>
  </si>
  <si>
    <t>PSE</t>
  </si>
  <si>
    <t>West Bank and Gaza</t>
  </si>
  <si>
    <t>YEM</t>
  </si>
  <si>
    <t>Yemen, Rep.</t>
  </si>
  <si>
    <t>ZMB</t>
  </si>
  <si>
    <t>Zambia</t>
  </si>
  <si>
    <t>ZWE</t>
  </si>
  <si>
    <t>Zimbabwe</t>
  </si>
  <si>
    <t>BHR</t>
  </si>
  <si>
    <t>Bahrain</t>
  </si>
  <si>
    <t>https://www.data.gov.bh/en/ResourceCenter</t>
  </si>
  <si>
    <t>BRB</t>
  </si>
  <si>
    <t>Barbados</t>
  </si>
  <si>
    <t>CZE</t>
  </si>
  <si>
    <t>Czech Republic</t>
  </si>
  <si>
    <t>https://www.czso.cz/csu/czso/prijmy-a-zivotni-podminky-domacnosti-2019</t>
  </si>
  <si>
    <t>GRC</t>
  </si>
  <si>
    <t>Greece</t>
  </si>
  <si>
    <t>https://www.statistics.gr/en/statistics/pop</t>
  </si>
  <si>
    <t>HUN</t>
  </si>
  <si>
    <t>Hungary</t>
  </si>
  <si>
    <t>http://www.ksh.hu/data_access_safe_centre_access
http://www.ksh.hu/adatigenyles_kutatoszobai_hozzaferes?lang=en</t>
  </si>
  <si>
    <t>LVA</t>
  </si>
  <si>
    <t>Latvia</t>
  </si>
  <si>
    <t>https://www.csb.gov.lv/lv/statistika/petniecibas-un-macibu-dati/anonimizeti-individualie-dati-macibam</t>
  </si>
  <si>
    <t>https://ec.europa.eu/eurostat/documents/203647/771732/Datasets-availability-table.pdf</t>
  </si>
  <si>
    <t>LTU</t>
  </si>
  <si>
    <t>Lithuania</t>
  </si>
  <si>
    <t>https://osp.stat.gov.lt/viesos-duomenu-rinkmenos</t>
  </si>
  <si>
    <t>OMN</t>
  </si>
  <si>
    <t>Oman</t>
  </si>
  <si>
    <t>https://www.ncsi.gov.om/Elibrary/Pages/LibraryContentView.aspx</t>
  </si>
  <si>
    <t>SAU</t>
  </si>
  <si>
    <t>Saudi Arabia</t>
  </si>
  <si>
    <t>https://www.stats.gov.sa/ar/37</t>
  </si>
  <si>
    <t>SVK</t>
  </si>
  <si>
    <t>Slovak Republic</t>
  </si>
  <si>
    <t>http://datacube.statistics.sk/#!/lang/en</t>
  </si>
  <si>
    <t>AND</t>
  </si>
  <si>
    <t>Andorra</t>
  </si>
  <si>
    <t>https://www.estadistica.ad/serveiestudis/web/index.asp?lang=4</t>
  </si>
  <si>
    <t>https://www.estadistica.ad/serveiestudis/web/index.asp</t>
  </si>
  <si>
    <t>https://www.estadistica.ad/serveiestudis/web/index.asp#</t>
  </si>
  <si>
    <t>ARE</t>
  </si>
  <si>
    <t>United Arab Emirates</t>
  </si>
  <si>
    <t>AUS</t>
  </si>
  <si>
    <t>Australia</t>
  </si>
  <si>
    <t>https://search.abs.gov.au/s/search.html?query=survey&amp;collection=abs&amp;form=simple&amp;profile=_default</t>
  </si>
  <si>
    <t>https://www.abs.gov.au/AUSSTATS/abs@.nsf/second+level+view?ReadForm&amp;prodno=6553.0&amp;viewtitle=Survey%20of%20Income%20and%20Housing,%20User%20Guide,%20Australia~2017-18~Latest~12/07/2019&amp;&amp;tabname=Past%20Future%20Issues&amp;prodno=6553.0&amp;issue=2017-18&amp;num=&amp;view=&amp;</t>
  </si>
  <si>
    <t>https://www.abs.gov.au/AUSSTATS/abs@.nsf/second+level+view?ReadForm&amp;prodno=6530.0&amp;viewtitle=Household%20Expenditure%20Survey,%20Australia:%20Summary%20of%20results~1998-99~Previous~28/06/2000&amp;&amp;tabname=Past%20Future%20Issues&amp;prodno=6530.0&amp;issue=1998-99&amp;num=&amp;view=&amp;</t>
  </si>
  <si>
    <t>AUT</t>
  </si>
  <si>
    <t>Austria</t>
  </si>
  <si>
    <t>http://www.statistik.at/web_de/dokumentationen/menschen_und_gesellschaft/Soziales/index.html</t>
  </si>
  <si>
    <t>http://www.statistik.at/web_en/documentations/people_and_society/social_statistics/index.html</t>
  </si>
  <si>
    <t>BEL</t>
  </si>
  <si>
    <t>Belgium</t>
  </si>
  <si>
    <t>https://statbel.fgov.be/nl/hbs-faq
https://statbel.fgov.be/fr/themes/menages/pauvrete-et-conditions-de-vie/risque-de-pauvrete-ou-dexclusion-sociale/plus</t>
  </si>
  <si>
    <t>https://statbel.fgov.be/fr/themes/menages/pauvrete-et-conditions-de-vie/risque-de-pauvrete-ou-dexclusion-sociale/plus</t>
  </si>
  <si>
    <t>https://statbel.fgov.be/en/themes/households/poverty-and-living-conditions/material-and-social-deprivation#news</t>
  </si>
  <si>
    <t>https://statbel.fgov.be/fr/propos-de-statbel/vie-privee/microdonnees-pour-la-recherche/catalogue-des-donnees</t>
  </si>
  <si>
    <t>https://statbel.fgov.be/en/themes/households/household-budget-survey-hbs</t>
  </si>
  <si>
    <t>BHS</t>
  </si>
  <si>
    <t>Bahamas, The</t>
  </si>
  <si>
    <t>https://www.bahamas.gov.bs/wps/portal/public/key%20statistics/social%20statistics/household%20expenditure%20survey/!ut/p/b1/vZbJjqNIFEW_JT-AcjDDknkO5nGDMJMNabANNpivL2eppFaru9KbkuOtAt2nE-9yCbHLdskuG4r7sS3m4zgUn1_7jMpdHri-yeIcI0oE4CiCo3nSwxWC2sW7JEopVhqtVtK85lAWPhfYxnlau1XItjaEOqk0bWWb-wOtbNiM3me0XY9hr_pXX8sekJ0FpuIwpfWul4sd8yh_gD1zjh-F3B80udGoytTsmkQJJmdlgjUjSscmmXalay346AIXNBdSfp2VaMiYkVIvEuNvynG5iafSD6ZuuBq4JRwkfKQqMsMe-4USp2b7AiSj7NEzYzgDUza9shg99_HxHDp9Dg3-sDjwnSdARn_3fyN44emLfuz1O8l-SXCgWBxHMJZCAgpooWNyDq1iNgF-C74b8fshsVcCdJc-BfQfBRHYBbsEELnfPc7a1m9et7mLBVBoddbzCKgB-zyE4acNZx5C09Oez2woQujvUxDQnmbNjVNFXshz4ryqFfIKiL4biL8XqADi3UDq3UDyzUAFvBuIvRv49z8LfZcd96cfS3n6AX6gJEESgKIAYFgKA9gu0tMHK47aIktZw6cFXd7yyRikTTzSmttfztgYIGcH89FrPfT1qRxsdVkN5i4JTK8bcbgU5A1YiheZDR3weoBJLcanUQMFl6r51hnurL94jp4n8v76bJ9SXD9hRXf0r_xcXeQqryaenA9VvWdBXqqHE3I6fV37UB1P9Qu7mP-NfBBOAIIZokEMLGkIYCCbPqtDKLE62MKHFXA4fGqszQYBdH7bxWUcPfqvgPSbgTbxbuCvBHZpDvejtXz9ROhebV9P-CIintJ3xQU7HqAdesuUrtlMpoJ3E_rijCCLgOG-cJ-LoQDTitxKGMPL2bzMgjIQHWoyQ4BvUnuLBQLPRSdTqZ7aL_nFxXM-fGTT1VIlwb6EmpXKo3nWC8znQklB9_HYleWwVo5L3bh7y0w1oFBKpfFIEqcymZuoagVSWiWUpRShqGbxqu394HbXsch1K5w_lopvP1i60cGDRmB-ZLE1qW0VI3tkH5IVTBLZZCxYchCp7wSzJjeTVZW699H1nhC6vlyokHNF71Pu5ENBeZ8pqlpH2xMEIG1HdgIn_57zK9oePrmPVwa_O0LE34_Qv-4UgiEIjEFxwGI0TTLMLupShN237kF8pifz7sbVGIIkYRzXoPTY4WpD47zayev8skWwmLWwGLMurLsNE1tjE5OAiiP8ms2dbNVqHH-y5GpE9Igx_Zl-kIVz7EfaGB8ykSjFUErjEA9Ic6sMj5XjUN_U4jAPvlsXhwdhTgkE1v3SR8GVpJ28LfefaDkrJ3_1RsprR8RV8eMUqclhtJu4v6p3Iee3oqxbPCU1aHQx8JMiDQdfLHBb9sy0dmIlFcpHKDDEpG06KxV7vEkuG1EQ7cfufLobhkl5UgP_W0SB_FPpx08xoSIo/dl4/d5/L2dBISEvZ0FBIS9nQSEh/</t>
  </si>
  <si>
    <t>BRN</t>
  </si>
  <si>
    <t>Brunei Darussalam</t>
  </si>
  <si>
    <t>http://www.deps.gov.bn/SitePages/Statistical%20Publications.aspx</t>
  </si>
  <si>
    <t>http://www.deps.gov.bn/DEPD%20Documents%20Library/DOS/KPK_HES/Household%20Expenditure%20Report%202010-11.pdf</t>
  </si>
  <si>
    <t>CAN</t>
  </si>
  <si>
    <t>Canada</t>
  </si>
  <si>
    <t>https://www23.statcan.gc.ca/imdb/p2SV.pl?Function=getSurvey&amp;Id=1275662#a2
https://www150.statcan.gc.ca/n1/en/catalogue/62F0026M#wb-auto-2</t>
  </si>
  <si>
    <t>https://www150.statcan.gc.ca/t1/tbl1/en/tv.action?pid=1110023901&amp;pickMembers%5B0%5D=1.1&amp;pickMembers%5B1%5D=2.1&amp;pickMembers%5B2%5D=3.1&amp;pickMembers%5B3%5D=4.1&amp;cubeTimeFrame.startYear=1985&amp;cubeTimeFrame.endYear=2018&amp;referencePeriods=19850101%2C20180101
https://www150.statcan.gc.ca/n1/en/catalogue/62F0026M#wb-auto-2</t>
  </si>
  <si>
    <t>https://www150.statcan.gc.ca/n1/pub/75f0011x/2003001/4060237-eng.htm
https://www23.statcan.gc.ca/imdb/p2SV.pl?Function=getSurvey&amp;amp;SDDS=3504</t>
  </si>
  <si>
    <t>https://www.oecd.org/els/soc/Session2-1-Canadian-Data-Issues.pdf</t>
  </si>
  <si>
    <t>CHE</t>
  </si>
  <si>
    <t>Switzerland</t>
  </si>
  <si>
    <t>https://www.bfs.admin.ch/bfs/en/home/statistics/economic-social-situation-population/surveys/silc.assetdetail.11647544.html
https://www.bfs.admin.ch/bfs/fr/home/statistiques/situation-economique-sociale-population/revenus-consommation-et-fortune/budget-des-menages.assetdetail.10867215.html</t>
  </si>
  <si>
    <t>CYP</t>
  </si>
  <si>
    <t>Cyprus</t>
  </si>
  <si>
    <t>https://www.mof.gov.cy/mof/cystat/statistics.nsf/populationcondition_25main_en/populationcondition_25main_en?OpenForm&amp;sub=5&amp;sel=4</t>
  </si>
  <si>
    <t>https://www.mof.gov.cy/mof/cystat/statistics.nsf/All/F91A6F55B78DF091C22581B10031EB35/$file/Household_Budget_2015_16_EN-121017.pdf?OpenElement</t>
  </si>
  <si>
    <t>https://www.mof.gov.cy/mof/cystat/statistics.nsf/publications_archive_en/publications_archive_en?OpenForm&amp;OpenView&amp;RestrictToCategory=2&amp;SrcTp=1&amp;Category=0&amp;Subject=2&amp;SubSubject=8&amp;subsubtext=99&amp;</t>
  </si>
  <si>
    <t>DEU</t>
  </si>
  <si>
    <t>Germany</t>
  </si>
  <si>
    <t>https://www.statistischebibliothek.de/mir/receive/DESerie_mods_00000501
https://www.statistischebibliothek.de/mir/receive/DESerie_mods_00000152</t>
  </si>
  <si>
    <t>https://www.statistischebibliothek.de/mir/receive/DESerie_mods_00000157</t>
  </si>
  <si>
    <t>https://www-genesis.destatis.de/genesis/online?operation=themes&amp;levelindex=0&amp;levelid=1600269707743&amp;code=63#abreadcrumb</t>
  </si>
  <si>
    <t>DNK</t>
  </si>
  <si>
    <t>Denmark</t>
  </si>
  <si>
    <t>https://www.dst.dk/en/Statistik/dokumentation/documentationofstatistics</t>
  </si>
  <si>
    <t>https://www.statbank.dk/10054</t>
  </si>
  <si>
    <t>https://www.statbank.dk/10082</t>
  </si>
  <si>
    <t>ESP</t>
  </si>
  <si>
    <t>Spain</t>
  </si>
  <si>
    <t>https://www.ine.es/dyngs/INEbase/en/categoria.htm?c=Estadistica_P&amp;cid=1254735976604</t>
  </si>
  <si>
    <t>https://www.ine.es/CDINEbase/consultar.do?mes=&amp;operacion=Encuesta%20de%20Presupuestos%20Familiares&amp;id_oper=Ir?mes=&amp;operacion=Encuesta%20de%20Presupuestos%20Familiares&amp;id_oper=Ir&amp;L=1</t>
  </si>
  <si>
    <t>https://www.ine.es/CDINEbase/consultar.do?mes=&amp;operacion=Encuesta+de+condiciones+de+vida&amp;id_oper=Ir&amp;L=1</t>
  </si>
  <si>
    <t>https://www.ine.es/dyngs/INEbase/en/operacion.htm?c=Estadistica_C&amp;cid=1254736176807&amp;menu=resultados&amp;idp=1254735976608#!tabs-1254736195153
https://www.ine.es/dyngs/INEbase/en/operacion.htm?c=Estadistica_C&amp;cid=1254736176819&amp;menu=resultados&amp;idp=1254735976608#!tabs-1254736194837</t>
  </si>
  <si>
    <t>EST</t>
  </si>
  <si>
    <t>Estonia</t>
  </si>
  <si>
    <t>https://www.stat.ee/en/find-statistics/methodology-and-quality/esms-metadata/40205#3-Statistical-presentation-2
https://www.stat.ee/en/find-statistics/methodology-and-quality/esms-metadata/40203#3-Statistical-presentation-2</t>
  </si>
  <si>
    <t>https://www.stat.ee/en/find-statistics/methodology-and-quality/esms-metadata</t>
  </si>
  <si>
    <t>http://pub.stat.ee/px-web.2001/I_Databas/Social_life/databasetree.asp</t>
  </si>
  <si>
    <t>FIN</t>
  </si>
  <si>
    <t>Finland</t>
  </si>
  <si>
    <t>http://www.stat.fi/keruu/tuel/index_en.html</t>
  </si>
  <si>
    <t>http://www.stat.fi/meta/til/ktutk_en.html</t>
  </si>
  <si>
    <t>http://www.stat.fi/til/tjt/index_en.html</t>
  </si>
  <si>
    <t>http://www.tilastokeskus.fi/til/ktutk/index_en.html
https://ec.europa.eu/eurostat/documents/203647/771732/Datasets-availability-table.pdf</t>
  </si>
  <si>
    <t>FRA</t>
  </si>
  <si>
    <t>France</t>
  </si>
  <si>
    <t>https://www.insee.fr/fr/metadonnees/source/serie/s1220</t>
  </si>
  <si>
    <t>https://www.insee.fr/en/metadonnees/source/serie/s1194</t>
  </si>
  <si>
    <t>GBR</t>
  </si>
  <si>
    <t>United Kingdom</t>
  </si>
  <si>
    <t>https://ec.europa.eu/eurostat/web/microdata/european-union-statistics-on-income-and-living-conditions#SILC%20SUFs
https://www.ons.gov.uk/peoplepopulationandcommunity/personalandhouseholdfinances/incomeandwealth/methodologies/livingcostsandfoodsurveyqmi</t>
  </si>
  <si>
    <t>https://webarchive.nationalarchives.gov.uk/20160105173324/http://www.ons.gov.uk/ons/rel/household-income/poverty-and-employment-transitions-in-the-uk-and-eu/2007-2012/poverty-and-employment-transitions-in-the-uk--2007-2012.html</t>
  </si>
  <si>
    <t>https://www.ons.gov.uk/peoplepopulationandcommunity/personalandhouseholdfinances/expenditure/bulletins/familyspendingintheuk/previousReleases</t>
  </si>
  <si>
    <t>https://ec.europa.eu/eurostat/documents/203647/771732/Datasets-availability-table.pdf
https://ec.europa.eu/eurostat/documents/203647/203704/EU-SILC+implementation+by+country.pdf</t>
  </si>
  <si>
    <t>IRL</t>
  </si>
  <si>
    <t>Ireland</t>
  </si>
  <si>
    <t>https://www.cso.ie/en/statistics/housingandhouseholds/</t>
  </si>
  <si>
    <t>https://www.cso.ie/en/statistics/socialconditions/surveyonincomeandlivingconditionssilc/
https://www.cso.ie/en/statistics/housingandhouseholds/householdbudgetsurvey/</t>
  </si>
  <si>
    <t>ISL</t>
  </si>
  <si>
    <t>Iceland</t>
  </si>
  <si>
    <t>https://statice.is/statistics/society/quality-of-life/</t>
  </si>
  <si>
    <t>https://statice.is/publications/metadata?fileId=19596</t>
  </si>
  <si>
    <t>ISR</t>
  </si>
  <si>
    <t>Israel</t>
  </si>
  <si>
    <t>https://www.cbs.gov.il/he/Surveys/Pages/%D7%A1%D7%A7%D7%A8-%D7%94%D7%95%D7%A6%D7%90%D7%95%D7%AA-%D7%9E%D7%A9%D7%A7%D7%99-%D7%91%D7%99%D7%AA.aspx</t>
  </si>
  <si>
    <t>https://www.cbs.gov.il/he/Surveys/Pages/%D7%A1%D7%A7%D7%A8-%D7%9E%D7%A9%D7%A7%D7%99-%D7%91%D7%99%D7%AA-%D7%91%D7%99%D7%A9%D7%A8%D7%90%D7%9C-%D7%A1%D7%A7%D7%A8-%D7%90%D7%A8%D7%95%D7%9A-%D7%98%D7%95%D7%95%D7%97.aspx</t>
  </si>
  <si>
    <t>https://www.cbs.gov.il/en/publications/Pages/2025/Household-Income-and-Expenditure-Data-From-the-2022-Household-Expenditure-Survey-General-Summary.aspx</t>
  </si>
  <si>
    <t>ITA</t>
  </si>
  <si>
    <t>Italy</t>
  </si>
  <si>
    <t>https://ec.europa.eu/eurostat/documents/203647/771732/Datasets-availability-table.pdf
http://siqual.istat.it/SIQual/visualizza.do?id=8889007&amp;refresh=true&amp;language=EN
http://siqual.istat.it/SIQual/supporti.do?id=5000170</t>
  </si>
  <si>
    <t>http://siqual.istat.it/SIQual/visualizza.do?id=0021002</t>
  </si>
  <si>
    <t>http://siqual.istat.it/SIQual/visualizza.do?id=5000170&amp;refresh=true&amp;language=EN</t>
  </si>
  <si>
    <t>http://dati.istat.it/?lang=en</t>
  </si>
  <si>
    <t>JPN</t>
  </si>
  <si>
    <t>Japan</t>
  </si>
  <si>
    <t>http://www.stat.go.jp/english/index.html
http://www.stat.go.jp/english/data/sousetai/1.html</t>
  </si>
  <si>
    <t>http://www.stat.go.jp/english/data/zensho/index.html</t>
  </si>
  <si>
    <t>http://www.stat.go.jp/data/zenkokukakei/2019/index.html</t>
  </si>
  <si>
    <t>http://www.stat.go.jp/english/data/kakei/156index.html</t>
  </si>
  <si>
    <t>KOR</t>
  </si>
  <si>
    <t>Korea, Rep.</t>
  </si>
  <si>
    <t>http://kostat.go.kr/portal/korea/kor_nw/1/4/1/index.board</t>
  </si>
  <si>
    <t>http://kostat.go.kr/portal/eng/surveyOutline/6/1/index.static</t>
  </si>
  <si>
    <t>http://kostat.go.kr/portal/eng/pressReleases/6/1/index.board?bmode=list&amp;bSeq=&amp;aSeq=&amp;pageNo=1&amp;rowNum=10&amp;navCount=10&amp;currPg=&amp;searchInfo=&amp;sTarget=title&amp;sTxt=</t>
  </si>
  <si>
    <t>KWT</t>
  </si>
  <si>
    <t>Kuwait</t>
  </si>
  <si>
    <t>https://www.csb.gov.kw/Pages/Statistics?ID=16&amp;ParentCatID=1</t>
  </si>
  <si>
    <t>LUX</t>
  </si>
  <si>
    <t>Luxembourg</t>
  </si>
  <si>
    <t>https://statistiques.public.lu/fr/enquetes/espace-menages/EU-SILC/index.html
https://statistiques.public.lu/fr/enquetes/espace-menages/budgets-menages/index.html</t>
  </si>
  <si>
    <t>https://statistiques.public.lu/stat/ReportFolders/ReportFolder.aspx?IF_Language=eng&amp;MainTheme=3&amp;FldrName=1&amp;RFPath=17165</t>
  </si>
  <si>
    <t>MLT</t>
  </si>
  <si>
    <t>Malta</t>
  </si>
  <si>
    <t>https://nso.gov.mt/en/nso/Sources_and_Methods/Unit_C1/Living_Conditions_and_Culture_Statistics/Pages/Statistics-on-Income-and-Living-Conditions.aspx
https://ec.europa.eu/eurostat/documents/203647/771732/Datasets-availability-table.pdf</t>
  </si>
  <si>
    <t>https://nso.gov.mt/en/nso/Sources_and_Methods/Unit_C1/Living_Conditions_and_Culture_Statistics/Pages/Household-Budgetary-Survey.aspx</t>
  </si>
  <si>
    <t>https://nso.gov.mt/metadata/reports/SILC_SIMS_2017.pdf</t>
  </si>
  <si>
    <t>https://nso.gov.mt/metadata/ConceptDetails.aspx?id=905</t>
  </si>
  <si>
    <t>NLD</t>
  </si>
  <si>
    <t>Netherlands</t>
  </si>
  <si>
    <t>https://ec.europa.eu/eurostat/documents/203647/771732/Datasets-availability-table.pdf
https://ec.europa.eu/eurostat/web/household-budget-surveys/overview</t>
  </si>
  <si>
    <t>https://www.cbs.nl/nl-nl/onze-diensten/maatwerk-en-microdata/microdata-zelf-onderzoek-doen/catalogus-microdata/inkomen-en-bestedingen#id=ipo-inkomenspanelonderzoek-reeks-1977-2000-0</t>
  </si>
  <si>
    <t>NOR</t>
  </si>
  <si>
    <t>Norway</t>
  </si>
  <si>
    <t>https://www.ssb.no/en/inntekt-og-forbruk
https://www.ssb.no/en/inntekt-og-forbruk?de=Income+and+wealth
https://ec.europa.eu/eurostat/documents/203647/771732/Datasets-availability-table.pdf</t>
  </si>
  <si>
    <t>https://www.ssb.no/en/inntekt-og-forbruk?de=Income+and+wealth</t>
  </si>
  <si>
    <t>https://www.ssb.no/en/inntekt-og-forbruk/statistikker/fbu</t>
  </si>
  <si>
    <t>https://www.ssb.no/en/sosiale-forhold-og-kriminalitet/statistikker/fattigdom</t>
  </si>
  <si>
    <t>NZL</t>
  </si>
  <si>
    <t>New Zealand</t>
  </si>
  <si>
    <t>https://www.stats.govt.nz/help-with-surveys/list-of-stats-nz-surveys/about-the-household-economic-survey/</t>
  </si>
  <si>
    <t>http://datainfoplus.stats.govt.nz/Item/nz.govt.stats/1bff2593-6872-4995-b71a-506b4612902c?_ga=2.235368449.103208402.1601484870-1420100070.1601484870</t>
  </si>
  <si>
    <t>PRT</t>
  </si>
  <si>
    <t>Portugal</t>
  </si>
  <si>
    <t>https://www.ine.pt/xportal/xmain?xpid=INE&amp;xpgid=ine_publicacoes&amp;PUBLICACOESpub_boui=298558245&amp;PUBLICACOEStema=5414278&amp;PUBLICACOESmodo=2
https://ec.europa.eu/eurostat/web/microdata/european-union-statistics-on-income-and-living-conditions</t>
  </si>
  <si>
    <t>https://www.ine.pt/xportal/xmain?xpid=INE&amp;xpgid=ine_pesquisa&amp;frm_accao=PESQUISAR&amp;frm_show_page_num=1&amp;frm_modo_pesquisa=PESQUISA_SIMPLES&amp;frm_modo_texto=MODO_TEXTO_ALL&amp;frm_texto=SILC&amp;frm_imgPesquisar=</t>
  </si>
  <si>
    <t>QAT</t>
  </si>
  <si>
    <t>Qatar</t>
  </si>
  <si>
    <t>https://www.psa.gov.qa/en/statistics1/pages/topicslisting.aspx?parent=Social&amp;child=HouseholdIncomeAndExpenditure</t>
  </si>
  <si>
    <t>SGP</t>
  </si>
  <si>
    <t>Singapore</t>
  </si>
  <si>
    <t>https://www.singstat.gov.sg/modules/infographics/hes/household-expenditure</t>
  </si>
  <si>
    <t>https://www.singstat.gov.sg/-/media/files/publications/reference/newsletter/ssnsep2005.pdf</t>
  </si>
  <si>
    <t>https://www.nas.gov.sg/archivesonline/data/pdfdoc/20050617997.pdf</t>
  </si>
  <si>
    <t>https://www.singstat.gov.sg/publications/ghs/ghs2015content</t>
  </si>
  <si>
    <t>SVN</t>
  </si>
  <si>
    <t>Slovenia</t>
  </si>
  <si>
    <t>https://www.stat.si/StatWeb/en/Field/Index/10/39</t>
  </si>
  <si>
    <t>https://www.stat.si/StatWeb/File/DocSysFile/11045/QR_APG_2018.pdf</t>
  </si>
  <si>
    <t>https://www.stat.si/StatWeb/File/DocSysFile/8270</t>
  </si>
  <si>
    <t>SWE</t>
  </si>
  <si>
    <t>Sweden</t>
  </si>
  <si>
    <t>https://www.scb.se/en/finding-statistics/statistics-by-subject-area/living-conditions/living-conditions/living-conditions-surveys-ulfsilc/</t>
  </si>
  <si>
    <t>https://ec.europa.eu/eurostat/web/microdata/european-union-statistics-on-income-and-living-conditions</t>
  </si>
  <si>
    <t>https://www.scb.se/en/finding-statistics/statistics-by-subject-area/household-finances/household-expenditures/household-budget-survey-hbs/</t>
  </si>
  <si>
    <t>USA</t>
  </si>
  <si>
    <t>United States</t>
  </si>
  <si>
    <t>https://www.census.gov/programs-surveys/ce.html
https://www.census.gov/programs-surveys/sipp.html</t>
  </si>
  <si>
    <t>https://www.bls.gov/opub/hom/cex/history.htm
https://www.census.gov/programs-surveys/sipp/data/datasets.2018.html</t>
  </si>
  <si>
    <t>https://www.bls.gov/cex/</t>
  </si>
  <si>
    <t>https://www.bls.gov/cex/csxreport.htm</t>
  </si>
  <si>
    <t>Time</t>
  </si>
  <si>
    <t>SCALE</t>
  </si>
  <si>
    <t>YR2025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</si>
</sst>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rgb="FFFFD75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4" fillId="3" borderId="2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0" fontId="0" fillId="8" borderId="4" xfId="0" applyFill="1" applyBorder="1" applyAlignment="1">
      <alignment horizontal="right" vertical="center"/>
    </xf>
    <xf numFmtId="0" fontId="0" fillId="8" borderId="5" xfId="0" applyFill="1" applyBorder="1" applyAlignment="1">
      <alignment horizontal="right" vertical="center"/>
    </xf>
    <xf numFmtId="0" fontId="0" fillId="8" borderId="6" xfId="0" applyFill="1" applyBorder="1" applyAlignment="1">
      <alignment horizontal="right" vertical="center"/>
    </xf>
    <xf numFmtId="0" fontId="0" fillId="8" borderId="7" xfId="0" applyFill="1" applyBorder="1" applyAlignment="1">
      <alignment horizontal="right" vertical="center"/>
    </xf>
    <xf numFmtId="0" fontId="0" fillId="8" borderId="8" xfId="0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0" borderId="1" xfId="1" applyFont="1" applyBorder="1" applyAlignment="1">
      <alignment horizontal="center" vertical="top"/>
    </xf>
    <xf numFmtId="0" fontId="0" fillId="0" borderId="1" xfId="0" applyBorder="1" applyAlignment="1">
      <alignment vertical="top"/>
    </xf>
    <xf numFmtId="164" fontId="5" fillId="0" borderId="1" xfId="1" applyNumberFormat="1" applyFont="1" applyBorder="1" applyAlignment="1">
      <alignment horizontal="left" vertical="top"/>
    </xf>
    <xf numFmtId="0" fontId="0" fillId="3" borderId="3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3" borderId="10" xfId="0" applyFill="1" applyBorder="1" applyAlignment="1">
      <alignment vertical="top"/>
    </xf>
    <xf numFmtId="0" fontId="0" fillId="5" borderId="11" xfId="0" applyFill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0" fillId="9" borderId="1" xfId="0" applyFill="1" applyBorder="1" applyAlignment="1">
      <alignment vertical="top"/>
    </xf>
    <xf numFmtId="0" fontId="0" fillId="3" borderId="11" xfId="0" applyFill="1" applyBorder="1" applyAlignment="1">
      <alignment vertical="top"/>
    </xf>
    <xf numFmtId="0" fontId="0" fillId="5" borderId="10" xfId="0" applyFill="1" applyBorder="1" applyAlignment="1">
      <alignment vertical="top"/>
    </xf>
    <xf numFmtId="0" fontId="0" fillId="3" borderId="0" xfId="0" applyFill="1"/>
    <xf numFmtId="0" fontId="0" fillId="5" borderId="9" xfId="0" applyFill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0" fillId="9" borderId="9" xfId="0" applyFill="1" applyBorder="1" applyAlignment="1">
      <alignment vertical="top"/>
    </xf>
    <xf numFmtId="164" fontId="3" fillId="0" borderId="1" xfId="1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0" fillId="12" borderId="1" xfId="0" applyFill="1" applyBorder="1" applyAlignment="1">
      <alignment vertical="top"/>
    </xf>
    <xf numFmtId="0" fontId="0" fillId="12" borderId="3" xfId="0" applyFill="1" applyBorder="1" applyAlignment="1">
      <alignment vertical="top"/>
    </xf>
    <xf numFmtId="0" fontId="0" fillId="9" borderId="3" xfId="0" applyFill="1" applyBorder="1" applyAlignment="1">
      <alignment vertical="top"/>
    </xf>
    <xf numFmtId="0" fontId="0" fillId="10" borderId="1" xfId="0" applyFill="1" applyBorder="1" applyAlignment="1">
      <alignment vertical="top"/>
    </xf>
    <xf numFmtId="0" fontId="0" fillId="13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0" borderId="9" xfId="0" applyBorder="1" applyAlignment="1">
      <alignment vertical="top"/>
    </xf>
    <xf numFmtId="0" fontId="0" fillId="6" borderId="9" xfId="0" applyFill="1" applyBorder="1" applyAlignment="1">
      <alignment vertical="top"/>
    </xf>
    <xf numFmtId="0" fontId="0" fillId="6" borderId="3" xfId="0" applyFill="1" applyBorder="1" applyAlignment="1">
      <alignment vertical="top"/>
    </xf>
    <xf numFmtId="164" fontId="5" fillId="2" borderId="1" xfId="1" applyNumberFormat="1" applyFont="1" applyFill="1" applyBorder="1" applyAlignment="1">
      <alignment horizontal="left" vertical="top"/>
    </xf>
    <xf numFmtId="0" fontId="0" fillId="10" borderId="10" xfId="0" applyFill="1" applyBorder="1" applyAlignment="1">
      <alignment vertical="top"/>
    </xf>
    <xf numFmtId="0" fontId="0" fillId="10" borderId="3" xfId="0" applyFill="1" applyBorder="1" applyAlignment="1">
      <alignment vertical="top"/>
    </xf>
    <xf numFmtId="0" fontId="0" fillId="10" borderId="11" xfId="0" applyFill="1" applyBorder="1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0" fillId="14" borderId="9" xfId="0" applyFill="1" applyBorder="1" applyAlignment="1">
      <alignment vertical="top"/>
    </xf>
    <xf numFmtId="0" fontId="0" fillId="14" borderId="1" xfId="0" applyFill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9" borderId="10" xfId="0" applyFill="1" applyBorder="1" applyAlignment="1">
      <alignment vertical="top"/>
    </xf>
    <xf numFmtId="0" fontId="8" fillId="0" borderId="1" xfId="2" applyBorder="1"/>
    <xf numFmtId="0" fontId="0" fillId="0" borderId="11" xfId="0" applyBorder="1" applyAlignment="1">
      <alignment vertical="top"/>
    </xf>
    <xf numFmtId="0" fontId="0" fillId="0" borderId="1" xfId="0" applyBorder="1" applyAlignment="1">
      <alignment horizontal="left"/>
    </xf>
    <xf numFmtId="0" fontId="0" fillId="10" borderId="1" xfId="0" applyFill="1" applyBorder="1" applyAlignment="1">
      <alignment horizontal="left" vertical="top"/>
    </xf>
    <xf numFmtId="0" fontId="2" fillId="3" borderId="0" xfId="0" applyFont="1" applyFill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0" fillId="7" borderId="3" xfId="0" applyFill="1" applyBorder="1" applyAlignment="1">
      <alignment vertical="top"/>
    </xf>
    <xf numFmtId="0" fontId="0" fillId="9" borderId="11" xfId="0" applyFill="1" applyBorder="1" applyAlignment="1">
      <alignment vertical="top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10" borderId="2" xfId="0" applyFill="1" applyBorder="1" applyAlignment="1">
      <alignment horizontal="left" vertical="top"/>
    </xf>
    <xf numFmtId="0" fontId="0" fillId="0" borderId="1" xfId="0" applyBorder="1"/>
    <xf numFmtId="0" fontId="0" fillId="10" borderId="1" xfId="0" applyFill="1" applyBorder="1"/>
    <xf numFmtId="0" fontId="0" fillId="3" borderId="1" xfId="0" applyFill="1" applyBorder="1"/>
    <xf numFmtId="0" fontId="0" fillId="0" borderId="12" xfId="0" applyBorder="1" applyAlignment="1">
      <alignment vertical="top"/>
    </xf>
    <xf numFmtId="0" fontId="8" fillId="0" borderId="1" xfId="2" applyFill="1" applyBorder="1" applyAlignment="1"/>
    <xf numFmtId="0" fontId="8" fillId="3" borderId="1" xfId="2" applyFill="1" applyBorder="1" applyAlignment="1"/>
    <xf numFmtId="0" fontId="2" fillId="0" borderId="0" xfId="0" applyFont="1"/>
    <xf numFmtId="0" fontId="0" fillId="0" borderId="3" xfId="0" applyBorder="1" applyAlignment="1">
      <alignment vertical="top"/>
    </xf>
    <xf numFmtId="0" fontId="0" fillId="3" borderId="1" xfId="0" applyFill="1" applyBorder="1" applyAlignment="1">
      <alignment wrapText="1"/>
    </xf>
    <xf numFmtId="0" fontId="0" fillId="8" borderId="13" xfId="0" applyFill="1" applyBorder="1" applyAlignment="1">
      <alignment horizontal="right" vertical="center"/>
    </xf>
    <xf numFmtId="0" fontId="8" fillId="3" borderId="1" xfId="2" applyFill="1" applyBorder="1"/>
    <xf numFmtId="0" fontId="0" fillId="15" borderId="11" xfId="0" applyFill="1" applyBorder="1" applyAlignment="1">
      <alignment vertical="top"/>
    </xf>
    <xf numFmtId="0" fontId="8" fillId="0" borderId="0" xfId="2"/>
    <xf numFmtId="0" fontId="8" fillId="3" borderId="1" xfId="2" applyFill="1" applyBorder="1" applyAlignment="1">
      <alignment wrapText="1"/>
    </xf>
  </cellXfs>
  <cellStyles count="3">
    <cellStyle name="Hyperlink" xfId="2" builtinId="8"/>
    <cellStyle name="Normal" xfId="0" builtinId="0"/>
    <cellStyle name="Normal_cty99" xfId="1" xr:uid="{08F02558-F0F7-474A-B414-9305DACEB306}"/>
  </cellStyles>
  <dxfs count="0"/>
  <tableStyles count="0" defaultTableStyle="TableStyleMedium2" defaultPivotStyle="PivotStyleLight16"/>
  <colors>
    <mruColors>
      <color rgb="FFCFAFE7"/>
      <color rgb="FFCCFF66"/>
      <color rgb="FFFFD757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ee.fr/fr/metadonnees/source/serie/s1220" TargetMode="External"/><Relationship Id="rId21" Type="http://schemas.openxmlformats.org/officeDocument/2006/relationships/hyperlink" Target="https://www.statbank.dk/10082" TargetMode="External"/><Relationship Id="rId42" Type="http://schemas.openxmlformats.org/officeDocument/2006/relationships/hyperlink" Target="https://www.ssb.no/en/inntekt-og-forbruk?de=Income+and+wealth" TargetMode="External"/><Relationship Id="rId47" Type="http://schemas.openxmlformats.org/officeDocument/2006/relationships/hyperlink" Target="https://www.psa.gov.qa/en/statistics1/pages/topicslisting.aspx?parent=Social&amp;child=HouseholdIncomeAndExpenditure" TargetMode="External"/><Relationship Id="rId63" Type="http://schemas.openxmlformats.org/officeDocument/2006/relationships/hyperlink" Target="https://www.cbs.gov.il/en/publications/Pages/2025/Household-Income-and-Expenditure-Data-From-the-2022-Household-Expenditure-Survey-General-Summary.aspx" TargetMode="External"/><Relationship Id="rId68" Type="http://schemas.openxmlformats.org/officeDocument/2006/relationships/hyperlink" Target="https://www.scb.se/en/finding-statistics/statistics-by-subject-area/household-finances/household-expenditures/household-budget-survey-hbs/" TargetMode="External"/><Relationship Id="rId7" Type="http://schemas.openxmlformats.org/officeDocument/2006/relationships/hyperlink" Target="https://osp.stat.gov.lt/viesos-duomenu-rinkmenos" TargetMode="External"/><Relationship Id="rId71" Type="http://schemas.openxmlformats.org/officeDocument/2006/relationships/comments" Target="../comments1.xml"/><Relationship Id="rId2" Type="http://schemas.openxmlformats.org/officeDocument/2006/relationships/hyperlink" Target="https://www.nas.gov.sg/archivesonline/data/pdfdoc/20050617997.pdf" TargetMode="External"/><Relationship Id="rId16" Type="http://schemas.openxmlformats.org/officeDocument/2006/relationships/hyperlink" Target="http://www.deps.gov.bn/SitePages/Statistical%20Publications.aspx" TargetMode="External"/><Relationship Id="rId29" Type="http://schemas.openxmlformats.org/officeDocument/2006/relationships/hyperlink" Target="https://www.cso.ie/en/statistics/housingandhouseholds/" TargetMode="External"/><Relationship Id="rId11" Type="http://schemas.openxmlformats.org/officeDocument/2006/relationships/hyperlink" Target="https://www.estadistica.ad/serveiestudis/web/index.asp?lang=4" TargetMode="External"/><Relationship Id="rId24" Type="http://schemas.openxmlformats.org/officeDocument/2006/relationships/hyperlink" Target="http://www.stat.fi/keruu/tuel/index_en.html" TargetMode="External"/><Relationship Id="rId32" Type="http://schemas.openxmlformats.org/officeDocument/2006/relationships/hyperlink" Target="https://www.cbs.gov.il/he/Surveys/Pages/%D7%A1%D7%A7%D7%A8-%D7%94%D7%95%D7%A6%D7%90%D7%95%D7%AA-%D7%9E%D7%A9%D7%A7%D7%99-%D7%91%D7%99%D7%AA.aspx" TargetMode="External"/><Relationship Id="rId37" Type="http://schemas.openxmlformats.org/officeDocument/2006/relationships/hyperlink" Target="http://kostat.go.kr/portal/eng/surveyOutline/6/1/index.static" TargetMode="External"/><Relationship Id="rId40" Type="http://schemas.openxmlformats.org/officeDocument/2006/relationships/hyperlink" Target="https://nso.gov.mt/en/nso/Sources_and_Methods/Unit_C1/Living_Conditions_and_Culture_Statistics/Pages/Statistics-on-Income-and-Living-Conditions.aspx" TargetMode="External"/><Relationship Id="rId45" Type="http://schemas.openxmlformats.org/officeDocument/2006/relationships/hyperlink" Target="http://datainfoplus.stats.govt.nz/Item/nz.govt.stats/1bff2593-6872-4995-b71a-506b4612902c?_ga=2.235368449.103208402.1601484870-1420100070.1601484870" TargetMode="External"/><Relationship Id="rId53" Type="http://schemas.openxmlformats.org/officeDocument/2006/relationships/hyperlink" Target="https://www.bls.gov/cex/csxreport.htm" TargetMode="External"/><Relationship Id="rId58" Type="http://schemas.openxmlformats.org/officeDocument/2006/relationships/hyperlink" Target="https://statbel.fgov.be/en/themes/households/poverty-and-living-conditions/material-and-social-deprivation" TargetMode="External"/><Relationship Id="rId66" Type="http://schemas.openxmlformats.org/officeDocument/2006/relationships/hyperlink" Target="https://www.cbs.nl/nl-nl/onze-diensten/maatwerk-en-microdata/microdata-zelf-onderzoek-doen/catalogus-microdata/inkomen-en-bestedingen" TargetMode="External"/><Relationship Id="rId5" Type="http://schemas.openxmlformats.org/officeDocument/2006/relationships/hyperlink" Target="https://www.csb.gov.lv/lv/statistika/petniecibas-un-macibu-dati/anonimizeti-individualie-dati-macibam" TargetMode="External"/><Relationship Id="rId61" Type="http://schemas.openxmlformats.org/officeDocument/2006/relationships/hyperlink" Target="http://dati.istat.it/?lang=en" TargetMode="External"/><Relationship Id="rId19" Type="http://schemas.openxmlformats.org/officeDocument/2006/relationships/hyperlink" Target="https://www.dst.dk/en/Statistik/dokumentation/documentationofstatistics" TargetMode="External"/><Relationship Id="rId14" Type="http://schemas.openxmlformats.org/officeDocument/2006/relationships/hyperlink" Target="https://www.abs.gov.au/AUSSTATS/abs@.nsf/second+level+view?ReadForm&amp;prodno=6530.0&amp;viewtitle=Household%20Expenditure%20Survey,%20Australia:%20Summary%20of%20results~1998-99~Previous~28/06/2000&amp;&amp;tabname=Past%20Future%20Issues&amp;prodno=6530.0&amp;issue=1998-99&amp;num=&amp;view=&amp;" TargetMode="External"/><Relationship Id="rId22" Type="http://schemas.openxmlformats.org/officeDocument/2006/relationships/hyperlink" Target="https://www.ine.es/dyngs/INEbase/en/categoria.htm?c=Estadistica_P&amp;cid=1254735976604" TargetMode="External"/><Relationship Id="rId27" Type="http://schemas.openxmlformats.org/officeDocument/2006/relationships/hyperlink" Target="https://webarchive.nationalarchives.gov.uk/20160105173324/http:/www.ons.gov.uk/ons/rel/household-income/poverty-and-employment-transitions-in-the-uk-and-eu/2007-2012/poverty-and-employment-transitions-in-the-uk--2007-2012.html" TargetMode="External"/><Relationship Id="rId30" Type="http://schemas.openxmlformats.org/officeDocument/2006/relationships/hyperlink" Target="https://statice.is/statistics/society/quality-of-life/" TargetMode="External"/><Relationship Id="rId35" Type="http://schemas.openxmlformats.org/officeDocument/2006/relationships/hyperlink" Target="http://www.stat.go.jp/english/data/zensho/index.html" TargetMode="External"/><Relationship Id="rId43" Type="http://schemas.openxmlformats.org/officeDocument/2006/relationships/hyperlink" Target="https://www.ssb.no/en/inntekt-og-forbruk/statistikker/fbu" TargetMode="External"/><Relationship Id="rId48" Type="http://schemas.openxmlformats.org/officeDocument/2006/relationships/hyperlink" Target="https://www.singstat.gov.sg/modules/infographics/hes/household-expenditure" TargetMode="External"/><Relationship Id="rId56" Type="http://schemas.openxmlformats.org/officeDocument/2006/relationships/hyperlink" Target="http://siqual.istat.it/SIQual/visualizza.do?id=0021002" TargetMode="External"/><Relationship Id="rId64" Type="http://schemas.openxmlformats.org/officeDocument/2006/relationships/hyperlink" Target="https://nso.gov.mt/metadata/ConceptDetails.aspx?id=905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www.ncsi.gov.om/Elibrary/Pages/LibraryContentView.aspx" TargetMode="External"/><Relationship Id="rId51" Type="http://schemas.openxmlformats.org/officeDocument/2006/relationships/hyperlink" Target="https://www.stat.si/StatWeb/File/DocSysFile/8270" TargetMode="External"/><Relationship Id="rId3" Type="http://schemas.openxmlformats.org/officeDocument/2006/relationships/hyperlink" Target="https://www.czso.cz/csu/czso/prijmy-a-zivotni-podminky-domacnosti-2019" TargetMode="External"/><Relationship Id="rId12" Type="http://schemas.openxmlformats.org/officeDocument/2006/relationships/hyperlink" Target="https://search.abs.gov.au/s/search.html?query=survey&amp;collection=abs&amp;form=simple&amp;profile=_default" TargetMode="External"/><Relationship Id="rId17" Type="http://schemas.openxmlformats.org/officeDocument/2006/relationships/hyperlink" Target="https://www.mof.gov.cy/mof/cystat/statistics.nsf/populationcondition_25main_en/populationcondition_25main_en?OpenForm&amp;sub=5&amp;sel=4" TargetMode="External"/><Relationship Id="rId25" Type="http://schemas.openxmlformats.org/officeDocument/2006/relationships/hyperlink" Target="http://www.stat.fi/meta/til/ktutk_en.html" TargetMode="External"/><Relationship Id="rId33" Type="http://schemas.openxmlformats.org/officeDocument/2006/relationships/hyperlink" Target="https://www.cbs.gov.il/he/Surveys/Pages/%D7%A1%D7%A7%D7%A8-%D7%9E%D7%A9%D7%A7%D7%99-%D7%91%D7%99%D7%AA-%D7%91%D7%99%D7%A9%D7%A8%D7%90%D7%9C-%D7%A1%D7%A7%D7%A8-%D7%90%D7%A8%D7%95%D7%9A-%D7%98%D7%95%D7%95%D7%97.aspx" TargetMode="External"/><Relationship Id="rId38" Type="http://schemas.openxmlformats.org/officeDocument/2006/relationships/hyperlink" Target="http://kostat.go.kr/portal/eng/pressReleases/6/1/index.board?bmode=list&amp;bSeq=&amp;aSeq=&amp;pageNo=1&amp;rowNum=10&amp;navCount=10&amp;currPg=&amp;searchInfo=&amp;sTarget=title&amp;sTxt=" TargetMode="External"/><Relationship Id="rId46" Type="http://schemas.openxmlformats.org/officeDocument/2006/relationships/hyperlink" Target="https://www.ine.pt/xportal/xmain?xpid=INE&amp;xpgid=ine_pesquisa&amp;frm_accao=PESQUISAR&amp;frm_show_page_num=1&amp;frm_modo_pesquisa=PESQUISA_SIMPLES&amp;frm_modo_texto=MODO_TEXTO_ALL&amp;frm_texto=SILC&amp;frm_imgPesquisar=" TargetMode="External"/><Relationship Id="rId59" Type="http://schemas.openxmlformats.org/officeDocument/2006/relationships/hyperlink" Target="https://statbel.fgov.be/en/themes/households/household-budget-survey-hbs" TargetMode="External"/><Relationship Id="rId67" Type="http://schemas.openxmlformats.org/officeDocument/2006/relationships/hyperlink" Target="https://ec.europa.eu/eurostat/web/microdata/european-union-statistics-on-income-and-living-conditions" TargetMode="External"/><Relationship Id="rId20" Type="http://schemas.openxmlformats.org/officeDocument/2006/relationships/hyperlink" Target="https://www.statbank.dk/10054" TargetMode="External"/><Relationship Id="rId41" Type="http://schemas.openxmlformats.org/officeDocument/2006/relationships/hyperlink" Target="https://nso.gov.mt/en/nso/Sources_and_Methods/Unit_C1/Living_Conditions_and_Culture_Statistics/Pages/Household-Budgetary-Survey.aspx" TargetMode="External"/><Relationship Id="rId54" Type="http://schemas.openxmlformats.org/officeDocument/2006/relationships/hyperlink" Target="https://www.bls.gov/cex/" TargetMode="External"/><Relationship Id="rId62" Type="http://schemas.openxmlformats.org/officeDocument/2006/relationships/hyperlink" Target="https://www.statistischebibliothek.de/mir/receive/DESerie_mods_00000157" TargetMode="External"/><Relationship Id="rId70" Type="http://schemas.openxmlformats.org/officeDocument/2006/relationships/vmlDrawing" Target="../drawings/vmlDrawing1.vml"/><Relationship Id="rId1" Type="http://schemas.openxmlformats.org/officeDocument/2006/relationships/hyperlink" Target="https://surveyscorecardqa.worldbank.org/index.php/survey/scorecard/372" TargetMode="External"/><Relationship Id="rId6" Type="http://schemas.openxmlformats.org/officeDocument/2006/relationships/hyperlink" Target="https://ec.europa.eu/eurostat/documents/203647/771732/Datasets-availability-table.pdf" TargetMode="External"/><Relationship Id="rId15" Type="http://schemas.openxmlformats.org/officeDocument/2006/relationships/hyperlink" Target="http://www.statistik.at/web_de/dokumentationen/menschen_und_gesellschaft/Soziales/index.html" TargetMode="External"/><Relationship Id="rId23" Type="http://schemas.openxmlformats.org/officeDocument/2006/relationships/hyperlink" Target="http://pub.stat.ee/px-web.2001/I_Databas/Social_life/databasetree.asp" TargetMode="External"/><Relationship Id="rId28" Type="http://schemas.openxmlformats.org/officeDocument/2006/relationships/hyperlink" Target="https://www.ons.gov.uk/peoplepopulationandcommunity/personalandhouseholdfinances/expenditure/bulletins/familyspendingintheuk/previousReleases" TargetMode="External"/><Relationship Id="rId36" Type="http://schemas.openxmlformats.org/officeDocument/2006/relationships/hyperlink" Target="http://kostat.go.kr/portal/korea/kor_nw/1/4/1/index.board" TargetMode="External"/><Relationship Id="rId49" Type="http://schemas.openxmlformats.org/officeDocument/2006/relationships/hyperlink" Target="https://www.stat.si/StatWeb/en/Field/Index/10/39" TargetMode="External"/><Relationship Id="rId57" Type="http://schemas.openxmlformats.org/officeDocument/2006/relationships/hyperlink" Target="http://www.statistik.at/web_en/documentations/people_and_society/social_statistics/index.html" TargetMode="External"/><Relationship Id="rId10" Type="http://schemas.openxmlformats.org/officeDocument/2006/relationships/hyperlink" Target="http://datacube.statistics.sk/" TargetMode="External"/><Relationship Id="rId31" Type="http://schemas.openxmlformats.org/officeDocument/2006/relationships/hyperlink" Target="https://statice.is/publications/metadata?fileId=19596" TargetMode="External"/><Relationship Id="rId44" Type="http://schemas.openxmlformats.org/officeDocument/2006/relationships/hyperlink" Target="https://www.stats.govt.nz/help-with-surveys/list-of-stats-nz-surveys/about-the-household-economic-survey/" TargetMode="External"/><Relationship Id="rId52" Type="http://schemas.openxmlformats.org/officeDocument/2006/relationships/hyperlink" Target="https://www.scb.se/en/finding-statistics/statistics-by-subject-area/living-conditions/living-conditions/living-conditions-surveys-ulfsilc/" TargetMode="External"/><Relationship Id="rId60" Type="http://schemas.openxmlformats.org/officeDocument/2006/relationships/hyperlink" Target="http://www.deps.gov.bn/DEPD%20Documents%20Library/DOS/KPK_HES/Household%20Expenditure%20Report%202010-11.pdf" TargetMode="External"/><Relationship Id="rId65" Type="http://schemas.openxmlformats.org/officeDocument/2006/relationships/hyperlink" Target="https://statistiques.public.lu/stat/ReportFolders/ReportFolder.aspx?IF_Language=eng&amp;MainTheme=3&amp;FldrName=1&amp;RFPath=17165" TargetMode="External"/><Relationship Id="rId4" Type="http://schemas.openxmlformats.org/officeDocument/2006/relationships/hyperlink" Target="https://www.statistics.gr/en/statistics/pop" TargetMode="External"/><Relationship Id="rId9" Type="http://schemas.openxmlformats.org/officeDocument/2006/relationships/hyperlink" Target="https://www.stats.gov.sa/ar/37" TargetMode="External"/><Relationship Id="rId13" Type="http://schemas.openxmlformats.org/officeDocument/2006/relationships/hyperlink" Target="https://www.abs.gov.au/AUSSTATS/abs@.nsf/second+level+view?ReadForm&amp;prodno=6553.0&amp;viewtitle=Survey%20of%20Income%20and%20Housing,%20User%20Guide,%20Australia~2017-18~Latest~12/07/2019&amp;&amp;tabname=Past%20Future%20Issues&amp;prodno=6553.0&amp;issue=2017-18&amp;num=&amp;view=&amp;" TargetMode="External"/><Relationship Id="rId18" Type="http://schemas.openxmlformats.org/officeDocument/2006/relationships/hyperlink" Target="https://www-genesis.destatis.de/genesis/online?operation=themes&amp;levelindex=0&amp;levelid=1600269707743&amp;code=63" TargetMode="External"/><Relationship Id="rId39" Type="http://schemas.openxmlformats.org/officeDocument/2006/relationships/hyperlink" Target="https://www.csb.gov.kw/Pages/Statistics?ID=16&amp;ParentCatID=1" TargetMode="External"/><Relationship Id="rId34" Type="http://schemas.openxmlformats.org/officeDocument/2006/relationships/hyperlink" Target="http://www.stat.go.jp/english/index.html" TargetMode="External"/><Relationship Id="rId50" Type="http://schemas.openxmlformats.org/officeDocument/2006/relationships/hyperlink" Target="https://www.stat.si/StatWeb/File/DocSysFile/11045/QR_APG_2018.pdf" TargetMode="External"/><Relationship Id="rId55" Type="http://schemas.openxmlformats.org/officeDocument/2006/relationships/hyperlink" Target="https://www.data.gov.bh/en/ResourceCen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7C17-ED72-4467-BEBC-578A2467E1DB}">
  <dimension ref="A1:BE193"/>
  <sheetViews>
    <sheetView tabSelected="1" zoomScaleNormal="100" zoomScaleSheetLayoutView="96" workbookViewId="0">
      <pane xSplit="3" ySplit="3" topLeftCell="D159" activePane="bottomRight" state="frozen"/>
      <selection pane="topRight" activeCell="D1" sqref="D1"/>
      <selection pane="bottomLeft" activeCell="A4" sqref="A4"/>
      <selection pane="bottomRight" activeCell="AT193" sqref="AT193"/>
    </sheetView>
  </sheetViews>
  <sheetFormatPr baseColWidth="10" defaultColWidth="9.1640625" defaultRowHeight="15" x14ac:dyDescent="0.2"/>
  <cols>
    <col min="1" max="1" width="6.33203125" customWidth="1"/>
    <col min="2" max="2" width="5.5" bestFit="1" customWidth="1"/>
    <col min="3" max="3" width="13.1640625" customWidth="1"/>
    <col min="4" max="4" width="22.33203125" customWidth="1"/>
    <col min="5" max="5" width="5.83203125" hidden="1" customWidth="1"/>
    <col min="6" max="28" width="7" hidden="1" customWidth="1"/>
    <col min="29" max="32" width="7" style="38" hidden="1" customWidth="1"/>
    <col min="33" max="33" width="24.5" style="38" hidden="1" customWidth="1"/>
    <col min="34" max="34" width="24" style="38" hidden="1" customWidth="1"/>
    <col min="35" max="35" width="20.1640625" style="38" hidden="1" customWidth="1"/>
    <col min="36" max="36" width="13.83203125" style="38" hidden="1" customWidth="1"/>
    <col min="37" max="37" width="7" style="38" hidden="1" customWidth="1"/>
    <col min="38" max="40" width="7.1640625" style="38" hidden="1" customWidth="1"/>
    <col min="41" max="45" width="7.1640625" customWidth="1"/>
    <col min="46" max="49" width="10" style="38" customWidth="1"/>
    <col min="50" max="50" width="209" style="43" bestFit="1" customWidth="1"/>
  </cols>
  <sheetData>
    <row r="1" spans="1:57" x14ac:dyDescent="0.2">
      <c r="B1" s="1">
        <v>1</v>
      </c>
      <c r="C1" s="1">
        <v>2</v>
      </c>
      <c r="D1" s="2">
        <f>+C1+1</f>
        <v>3</v>
      </c>
      <c r="E1" s="2">
        <f t="shared" ref="E1:AJ1" si="0">+D1+1</f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  <c r="L1" s="2">
        <f t="shared" si="0"/>
        <v>11</v>
      </c>
      <c r="M1" s="2">
        <f t="shared" si="0"/>
        <v>12</v>
      </c>
      <c r="N1" s="2">
        <f t="shared" si="0"/>
        <v>13</v>
      </c>
      <c r="O1" s="2">
        <f t="shared" si="0"/>
        <v>14</v>
      </c>
      <c r="P1" s="2">
        <f t="shared" si="0"/>
        <v>15</v>
      </c>
      <c r="Q1" s="2">
        <f>+P1+1</f>
        <v>16</v>
      </c>
      <c r="R1" s="2">
        <f t="shared" si="0"/>
        <v>17</v>
      </c>
      <c r="S1" s="2">
        <f t="shared" si="0"/>
        <v>18</v>
      </c>
      <c r="T1" s="2">
        <f t="shared" si="0"/>
        <v>19</v>
      </c>
      <c r="U1" s="2">
        <f t="shared" si="0"/>
        <v>20</v>
      </c>
      <c r="V1" s="2">
        <f t="shared" si="0"/>
        <v>21</v>
      </c>
      <c r="W1" s="2">
        <f t="shared" si="0"/>
        <v>22</v>
      </c>
      <c r="X1" s="2">
        <f t="shared" si="0"/>
        <v>23</v>
      </c>
      <c r="Y1" s="2">
        <f t="shared" si="0"/>
        <v>24</v>
      </c>
      <c r="Z1" s="2">
        <f t="shared" si="0"/>
        <v>25</v>
      </c>
      <c r="AA1" s="2">
        <f t="shared" si="0"/>
        <v>26</v>
      </c>
      <c r="AB1" s="2">
        <f t="shared" si="0"/>
        <v>27</v>
      </c>
      <c r="AC1" s="3">
        <f t="shared" si="0"/>
        <v>28</v>
      </c>
      <c r="AD1" s="3">
        <f t="shared" si="0"/>
        <v>29</v>
      </c>
      <c r="AE1" s="3">
        <f t="shared" si="0"/>
        <v>30</v>
      </c>
      <c r="AF1" s="3">
        <f t="shared" si="0"/>
        <v>31</v>
      </c>
      <c r="AG1" s="3">
        <f t="shared" si="0"/>
        <v>32</v>
      </c>
      <c r="AH1" s="3">
        <f t="shared" si="0"/>
        <v>33</v>
      </c>
      <c r="AI1" s="3">
        <f t="shared" si="0"/>
        <v>34</v>
      </c>
      <c r="AJ1" s="3">
        <f t="shared" si="0"/>
        <v>35</v>
      </c>
      <c r="AK1" s="3">
        <f t="shared" ref="AK1" si="1">+AJ1+1</f>
        <v>36</v>
      </c>
      <c r="AL1" s="3">
        <f t="shared" ref="AL1" si="2">+AK1+1</f>
        <v>37</v>
      </c>
      <c r="AM1" s="3">
        <f t="shared" ref="AM1" si="3">+AL1+1</f>
        <v>38</v>
      </c>
      <c r="AN1" s="3">
        <f t="shared" ref="AN1" si="4">+AM1+1</f>
        <v>39</v>
      </c>
      <c r="AO1" s="3">
        <f t="shared" ref="AO1" si="5">+AN1+1</f>
        <v>40</v>
      </c>
      <c r="AP1" s="3">
        <f t="shared" ref="AP1" si="6">+AO1+1</f>
        <v>41</v>
      </c>
      <c r="AQ1" s="3">
        <f t="shared" ref="AQ1" si="7">+AP1+1</f>
        <v>42</v>
      </c>
      <c r="AR1" s="3">
        <f t="shared" ref="AR1" si="8">+AQ1+1</f>
        <v>43</v>
      </c>
      <c r="AS1" s="3">
        <f t="shared" ref="AS1" si="9">+AR1+1</f>
        <v>44</v>
      </c>
      <c r="AT1" s="3">
        <f t="shared" ref="AT1" si="10">+AS1+1</f>
        <v>45</v>
      </c>
      <c r="AU1" s="3">
        <f t="shared" ref="AU1" si="11">+AT1+1</f>
        <v>46</v>
      </c>
      <c r="AV1" s="3">
        <f t="shared" ref="AV1" si="12">+AU1+1</f>
        <v>47</v>
      </c>
      <c r="AW1" s="3">
        <f t="shared" ref="AW1:AX1" si="13">+AV1+1</f>
        <v>48</v>
      </c>
      <c r="AX1" s="3">
        <f t="shared" si="13"/>
        <v>49</v>
      </c>
    </row>
    <row r="2" spans="1:57" s="4" customFormat="1" x14ac:dyDescent="0.2">
      <c r="C2" s="5"/>
      <c r="AC2" s="6"/>
      <c r="AD2" s="6"/>
      <c r="AE2" s="6"/>
      <c r="AF2" s="6"/>
      <c r="AG2" s="45" t="s">
        <v>0</v>
      </c>
      <c r="AH2" s="44" t="s">
        <v>1</v>
      </c>
      <c r="AI2" s="7" t="s">
        <v>2</v>
      </c>
      <c r="AJ2" s="8" t="s">
        <v>3</v>
      </c>
      <c r="AK2" s="82"/>
      <c r="AL2" s="6"/>
      <c r="AM2" s="6"/>
      <c r="AN2" s="6"/>
      <c r="AT2" s="6"/>
      <c r="AU2" s="6"/>
      <c r="AV2" s="6"/>
      <c r="AW2" s="6"/>
      <c r="AX2" s="9"/>
    </row>
    <row r="3" spans="1:57" x14ac:dyDescent="0.2">
      <c r="A3" s="10" t="s">
        <v>4</v>
      </c>
      <c r="B3" s="11" t="s">
        <v>5</v>
      </c>
      <c r="C3" s="12" t="s">
        <v>6</v>
      </c>
      <c r="D3" s="13" t="s">
        <v>7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14</v>
      </c>
      <c r="L3" s="14" t="s">
        <v>15</v>
      </c>
      <c r="M3" s="14" t="s">
        <v>16</v>
      </c>
      <c r="N3" s="14" t="s">
        <v>17</v>
      </c>
      <c r="O3" s="14" t="s">
        <v>18</v>
      </c>
      <c r="P3" s="14" t="s">
        <v>19</v>
      </c>
      <c r="Q3" s="14" t="s">
        <v>20</v>
      </c>
      <c r="R3" s="14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4" t="s">
        <v>29</v>
      </c>
      <c r="AA3" s="14" t="s">
        <v>30</v>
      </c>
      <c r="AB3" s="15" t="s">
        <v>31</v>
      </c>
      <c r="AC3" s="16" t="s">
        <v>32</v>
      </c>
      <c r="AD3" s="17" t="s">
        <v>33</v>
      </c>
      <c r="AE3" s="18" t="s">
        <v>34</v>
      </c>
      <c r="AF3" s="18" t="s">
        <v>35</v>
      </c>
      <c r="AG3" s="18" t="s">
        <v>36</v>
      </c>
      <c r="AH3" s="18" t="s">
        <v>37</v>
      </c>
      <c r="AI3" s="19" t="s">
        <v>38</v>
      </c>
      <c r="AJ3" s="19" t="s">
        <v>39</v>
      </c>
      <c r="AK3" s="19" t="s">
        <v>40</v>
      </c>
      <c r="AL3" s="18" t="s">
        <v>41</v>
      </c>
      <c r="AM3" s="20" t="s">
        <v>42</v>
      </c>
      <c r="AN3" s="21" t="s">
        <v>43</v>
      </c>
      <c r="AO3" s="20" t="s">
        <v>44</v>
      </c>
      <c r="AP3" s="20" t="s">
        <v>45</v>
      </c>
      <c r="AQ3" s="20" t="s">
        <v>46</v>
      </c>
      <c r="AR3" s="85" t="s">
        <v>47</v>
      </c>
      <c r="AS3" s="20" t="s">
        <v>48</v>
      </c>
      <c r="AT3" s="22" t="s">
        <v>542</v>
      </c>
      <c r="AU3" s="22"/>
      <c r="AV3" s="22"/>
      <c r="AW3" s="22" t="s">
        <v>49</v>
      </c>
      <c r="AX3" s="23" t="s">
        <v>50</v>
      </c>
    </row>
    <row r="4" spans="1:57" x14ac:dyDescent="0.2">
      <c r="A4" s="24">
        <v>1</v>
      </c>
      <c r="B4" s="25" t="s">
        <v>51</v>
      </c>
      <c r="C4" s="26" t="s">
        <v>52</v>
      </c>
      <c r="D4" s="25" t="s">
        <v>53</v>
      </c>
      <c r="E4" s="25">
        <v>0</v>
      </c>
      <c r="F4" s="25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>
        <v>0</v>
      </c>
      <c r="X4" s="35">
        <v>1</v>
      </c>
      <c r="Y4" s="25">
        <v>0</v>
      </c>
      <c r="Z4" s="35">
        <v>1</v>
      </c>
      <c r="AA4" s="25">
        <v>0</v>
      </c>
      <c r="AB4" s="30">
        <v>1</v>
      </c>
      <c r="AC4" s="27">
        <v>0</v>
      </c>
      <c r="AD4" s="28">
        <v>0</v>
      </c>
      <c r="AE4" s="29">
        <v>0</v>
      </c>
      <c r="AF4" s="30">
        <v>1</v>
      </c>
      <c r="AG4" s="29">
        <v>0</v>
      </c>
      <c r="AH4" s="30">
        <v>1</v>
      </c>
      <c r="AI4" s="49">
        <v>1</v>
      </c>
      <c r="AJ4" s="29">
        <v>0</v>
      </c>
      <c r="AK4" s="30">
        <v>1</v>
      </c>
      <c r="AL4" s="31">
        <v>0</v>
      </c>
      <c r="AM4" s="32">
        <v>0</v>
      </c>
      <c r="AN4" s="33">
        <v>1</v>
      </c>
      <c r="AO4" s="66">
        <v>0</v>
      </c>
      <c r="AP4" s="66">
        <v>0</v>
      </c>
      <c r="AQ4" s="66">
        <v>0</v>
      </c>
      <c r="AR4" s="66"/>
      <c r="AS4" s="66"/>
      <c r="AX4" s="34" t="str">
        <f>+IF($F4&gt;=1,RIGHT(F$3,4)&amp;", ","")&amp;IF($G4&gt;=1,RIGHT(G$3,4)&amp;", ","")&amp;IF($H4&gt;=1,RIGHT(H$3,4)&amp;", ","")&amp;IF($I4&gt;=1,RIGHT(I$3,4)&amp;", ","")&amp;IF($J4&gt;=1,RIGHT(J$3,4)&amp;", ","")&amp;IF($K4&gt;=1,RIGHT(K$3,4)&amp;", ","")&amp;IF($L4&gt;=1,RIGHT(L$3,4)&amp;", ","")&amp;IF($M4&gt;=1,RIGHT(M$3,4)&amp;", ","")&amp;IF($N4&gt;=1,RIGHT(N$3,4)&amp;", ","")&amp;IF($O4&gt;=1,RIGHT(O$3,4)&amp;", ","")&amp;IF($P4&gt;=1,RIGHT(P$3,4)&amp;", ","")&amp;IF($Q4&gt;=1,RIGHT(Q$3,4)&amp;", ","")&amp;IF($R4&gt;=1,RIGHT(R$3,4)&amp;", ","")&amp;IF($S4&gt;=1,RIGHT(S$3,4)&amp;", ","")&amp;IF($T4&gt;=1,RIGHT(T$3,4)&amp;", ","")&amp;IF($U4&gt;=1,RIGHT(U$3,4)&amp;", ","")&amp;IF($V4&gt;=1,RIGHT(V$3,4)&amp;", ","")&amp;IF($W4&gt;=1,RIGHT(W$3,4)&amp;", ","")&amp;IF($X4&gt;=1,RIGHT(X$3,4)&amp;", ","")&amp;IF($Y4&gt;=1,RIGHT(Y$3,4)&amp;", ","")&amp;IF($Z4&gt;=1,RIGHT(Z$3,4)&amp;", ","")&amp;IF($AA4&gt;=1,RIGHT(AA$3,4)&amp;", ","")&amp;IF($AB4&gt;=1,RIGHT(AB$3,4)&amp;", ","")&amp;IF($AC4&gt;=1,RIGHT(AC$3,4)&amp;", ","")&amp;IF($AD4&gt;=1,RIGHT(AD$3,4)&amp;", ","")&amp;IF($AE4&gt;=1,RIGHT(AE$3,4)&amp;", ","")&amp;IF($AF4&gt;=1,RIGHT(AF$3,4)&amp;", ","")&amp;IF($AG4&gt;=1,RIGHT(AG$3,4)&amp;", ","")&amp;IF($AH4&gt;=1,RIGHT(AH$3,4)&amp;", ","")&amp;IF($AI4&gt;=1,RIGHT(AI$3,4)&amp;", ","")&amp;IF($AJ4&gt;=1,RIGHT(AJ$3,4)&amp;", ","")&amp;IF($AK4&gt;=1,RIGHT(AK$3,4)&amp;", ","")&amp;IF($AL4&gt;=1,RIGHT(AL$3,4)&amp;", ","")&amp;IF($AM4&gt;=1,RIGHT(AM$3,4)&amp;", ","")&amp;IF($AN4&gt;=1,RIGHT(AN$3,4)&amp;", ","")&amp;IF($AO4&gt;=1,RIGHT(AO$3,4)&amp;", ","") &amp;IF($AP4&gt;=1,RIGHT(AP$3,4)&amp;", ","") &amp;IF($AQ4&gt;=1,RIGHT(AQ$3,4)&amp;", ","") &amp;IF($AR4&gt;=1,RIGHT(AR$3,4)&amp;", ","") &amp;IF($AS4&gt;=1,RIGHT(AS$3,4)&amp;", ","")&amp;IF($AT4&gt;=1,RIGHT(AT$3,4)&amp;", ","")</f>
        <v xml:space="preserve">2003, 2005, 2007, 2011, 2013, 2014, 2016, 2019, </v>
      </c>
      <c r="AY4" s="29"/>
      <c r="AZ4" s="29"/>
      <c r="BA4" s="29"/>
      <c r="BB4" s="29"/>
    </row>
    <row r="5" spans="1:57" x14ac:dyDescent="0.2">
      <c r="A5" s="24">
        <f t="shared" ref="A5:A68" si="14">1+A4</f>
        <v>2</v>
      </c>
      <c r="B5" s="25" t="s">
        <v>54</v>
      </c>
      <c r="C5" s="26" t="s">
        <v>55</v>
      </c>
      <c r="D5" s="25" t="s">
        <v>53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30">
        <v>1</v>
      </c>
      <c r="X5" s="35">
        <v>1</v>
      </c>
      <c r="Y5" s="35">
        <v>1</v>
      </c>
      <c r="Z5" s="30">
        <v>1</v>
      </c>
      <c r="AA5" s="35">
        <v>1</v>
      </c>
      <c r="AB5" s="25">
        <v>0</v>
      </c>
      <c r="AC5" s="30">
        <v>1</v>
      </c>
      <c r="AD5" s="35">
        <v>1</v>
      </c>
      <c r="AE5" s="29">
        <v>0</v>
      </c>
      <c r="AF5" s="29">
        <v>0</v>
      </c>
      <c r="AG5" s="35">
        <v>1</v>
      </c>
      <c r="AH5" s="29">
        <v>0</v>
      </c>
      <c r="AI5" s="35">
        <v>1</v>
      </c>
      <c r="AJ5" s="35">
        <v>1</v>
      </c>
      <c r="AK5" s="35">
        <v>1</v>
      </c>
      <c r="AL5" s="29">
        <v>1</v>
      </c>
      <c r="AM5" s="32">
        <v>1</v>
      </c>
      <c r="AN5" s="36">
        <v>1</v>
      </c>
      <c r="AO5" s="32">
        <v>1</v>
      </c>
      <c r="AP5" s="36">
        <v>1</v>
      </c>
      <c r="AQ5" s="66">
        <v>1</v>
      </c>
      <c r="AR5" s="66"/>
      <c r="AS5" s="66"/>
      <c r="AX5" s="34" t="str">
        <f t="shared" ref="AX5:AX68" si="15">+IF($F5&gt;=1,RIGHT(F$3,4)&amp;", ","")&amp;IF($G5&gt;=1,RIGHT(G$3,4)&amp;", ","")&amp;IF($H5&gt;=1,RIGHT(H$3,4)&amp;", ","")&amp;IF($I5&gt;=1,RIGHT(I$3,4)&amp;", ","")&amp;IF($J5&gt;=1,RIGHT(J$3,4)&amp;", ","")&amp;IF($K5&gt;=1,RIGHT(K$3,4)&amp;", ","")&amp;IF($L5&gt;=1,RIGHT(L$3,4)&amp;", ","")&amp;IF($M5&gt;=1,RIGHT(M$3,4)&amp;", ","")&amp;IF($N5&gt;=1,RIGHT(N$3,4)&amp;", ","")&amp;IF($O5&gt;=1,RIGHT(O$3,4)&amp;", ","")&amp;IF($P5&gt;=1,RIGHT(P$3,4)&amp;", ","")&amp;IF($Q5&gt;=1,RIGHT(Q$3,4)&amp;", ","")&amp;IF($R5&gt;=1,RIGHT(R$3,4)&amp;", ","")&amp;IF($S5&gt;=1,RIGHT(S$3,4)&amp;", ","")&amp;IF($T5&gt;=1,RIGHT(T$3,4)&amp;", ","")&amp;IF($U5&gt;=1,RIGHT(U$3,4)&amp;", ","")&amp;IF($V5&gt;=1,RIGHT(V$3,4)&amp;", ","")&amp;IF($W5&gt;=1,RIGHT(W$3,4)&amp;", ","")&amp;IF($X5&gt;=1,RIGHT(X$3,4)&amp;", ","")&amp;IF($Y5&gt;=1,RIGHT(Y$3,4)&amp;", ","")&amp;IF($Z5&gt;=1,RIGHT(Z$3,4)&amp;", ","")&amp;IF($AA5&gt;=1,RIGHT(AA$3,4)&amp;", ","")&amp;IF($AB5&gt;=1,RIGHT(AB$3,4)&amp;", ","")&amp;IF($AC5&gt;=1,RIGHT(AC$3,4)&amp;", ","")&amp;IF($AD5&gt;=1,RIGHT(AD$3,4)&amp;", ","")&amp;IF($AE5&gt;=1,RIGHT(AE$3,4)&amp;", ","")&amp;IF($AF5&gt;=1,RIGHT(AF$3,4)&amp;", ","")&amp;IF($AG5&gt;=1,RIGHT(AG$3,4)&amp;", ","")&amp;IF($AH5&gt;=1,RIGHT(AH$3,4)&amp;", ","")&amp;IF($AI5&gt;=1,RIGHT(AI$3,4)&amp;", ","")&amp;IF($AJ5&gt;=1,RIGHT(AJ$3,4)&amp;", ","")&amp;IF($AK5&gt;=1,RIGHT(AK$3,4)&amp;", ","")&amp;IF($AL5&gt;=1,RIGHT(AL$3,4)&amp;", ","")&amp;IF($AM5&gt;=1,RIGHT(AM$3,4)&amp;", ","")&amp;IF($AN5&gt;=1,RIGHT(AN$3,4)&amp;", ","")&amp;IF($AO5&gt;=1,RIGHT(AO$3,4)&amp;", ","") &amp;IF($AP5&gt;=1,RIGHT(AP$3,4)&amp;", ","") &amp;IF($AQ5&gt;=1,RIGHT(AQ$3,4)&amp;", ","") &amp;IF($AR5&gt;=1,RIGHT(AR$3,4)&amp;", ","") &amp;IF($AS5&gt;=1,RIGHT(AS$3,4)&amp;", ","")&amp;IF($AT5&gt;=1,RIGHT(AT$3,4)&amp;", ","")</f>
        <v xml:space="preserve">2002, 2003, 2004, 2005, 2006, 2008, 2009, 2012, 2014, 2015, 2016, 2017, 2018, 2019, 2020, 2021, 2022, </v>
      </c>
      <c r="AY5" s="29"/>
      <c r="AZ5" s="29"/>
      <c r="BA5" s="29"/>
      <c r="BB5" s="29"/>
      <c r="BC5" s="38"/>
      <c r="BD5" s="38"/>
      <c r="BE5" s="38"/>
    </row>
    <row r="6" spans="1:57" x14ac:dyDescent="0.2">
      <c r="A6" s="24">
        <f t="shared" si="14"/>
        <v>3</v>
      </c>
      <c r="B6" s="25" t="s">
        <v>56</v>
      </c>
      <c r="C6" s="26" t="s">
        <v>57</v>
      </c>
      <c r="D6" s="25" t="s">
        <v>53</v>
      </c>
      <c r="E6" s="25">
        <v>0</v>
      </c>
      <c r="F6" s="25">
        <v>0</v>
      </c>
      <c r="G6" s="25">
        <v>0</v>
      </c>
      <c r="H6" s="25">
        <v>0</v>
      </c>
      <c r="I6" s="25">
        <v>1</v>
      </c>
      <c r="J6" s="25">
        <v>1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2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0</v>
      </c>
      <c r="Z6" s="25">
        <v>0</v>
      </c>
      <c r="AA6" s="25">
        <v>0</v>
      </c>
      <c r="AB6" s="25">
        <v>0</v>
      </c>
      <c r="AC6" s="27">
        <v>0</v>
      </c>
      <c r="AD6" s="28">
        <v>0</v>
      </c>
      <c r="AE6" s="30">
        <v>1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32">
        <v>0</v>
      </c>
      <c r="AN6" s="36">
        <v>0</v>
      </c>
      <c r="AO6" s="66">
        <v>0</v>
      </c>
      <c r="AP6" s="66">
        <v>0</v>
      </c>
      <c r="AQ6" s="66">
        <v>0</v>
      </c>
      <c r="AR6" s="66"/>
      <c r="AS6" s="66"/>
      <c r="AX6" s="34" t="str">
        <f t="shared" si="15"/>
        <v xml:space="preserve">1988, 1989, 1995, 2010, </v>
      </c>
      <c r="AY6" s="29"/>
      <c r="AZ6" s="29"/>
      <c r="BA6" s="29"/>
      <c r="BB6" s="29"/>
    </row>
    <row r="7" spans="1:57" x14ac:dyDescent="0.2">
      <c r="A7" s="24">
        <f t="shared" si="14"/>
        <v>4</v>
      </c>
      <c r="B7" s="25" t="s">
        <v>58</v>
      </c>
      <c r="C7" s="26" t="s">
        <v>59</v>
      </c>
      <c r="D7" s="25" t="s">
        <v>53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1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35">
        <v>1</v>
      </c>
      <c r="U7" s="30">
        <v>1</v>
      </c>
      <c r="V7" s="29">
        <v>0</v>
      </c>
      <c r="W7" s="25">
        <v>0</v>
      </c>
      <c r="X7" s="25">
        <v>0</v>
      </c>
      <c r="Y7" s="25">
        <v>0</v>
      </c>
      <c r="Z7" s="35">
        <v>1</v>
      </c>
      <c r="AA7" s="25">
        <v>0</v>
      </c>
      <c r="AB7" s="25">
        <v>0</v>
      </c>
      <c r="AC7" s="30">
        <v>1</v>
      </c>
      <c r="AD7" s="41">
        <v>1</v>
      </c>
      <c r="AE7" s="29">
        <v>0</v>
      </c>
      <c r="AF7" s="50">
        <v>1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37">
        <v>1</v>
      </c>
      <c r="AN7" s="36">
        <v>0</v>
      </c>
      <c r="AO7" s="66">
        <v>0</v>
      </c>
      <c r="AP7" s="66">
        <v>0</v>
      </c>
      <c r="AQ7" s="66">
        <v>0</v>
      </c>
      <c r="AR7" s="66"/>
      <c r="AS7" s="66"/>
      <c r="AX7" s="34" t="str">
        <f t="shared" si="15"/>
        <v xml:space="preserve">1990, 1999, 2000, 2005, 2008, 2009, 2011, 2018, </v>
      </c>
      <c r="AY7" s="29"/>
      <c r="AZ7" s="29"/>
      <c r="BA7" s="29"/>
      <c r="BB7" s="29"/>
    </row>
    <row r="8" spans="1:57" x14ac:dyDescent="0.2">
      <c r="A8" s="24">
        <f t="shared" si="14"/>
        <v>5</v>
      </c>
      <c r="B8" s="25" t="s">
        <v>60</v>
      </c>
      <c r="C8" s="26" t="s">
        <v>61</v>
      </c>
      <c r="D8" s="25" t="s">
        <v>53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30">
        <v>1</v>
      </c>
      <c r="AA8" s="25">
        <v>0</v>
      </c>
      <c r="AB8" s="25">
        <v>0</v>
      </c>
      <c r="AC8" s="27">
        <v>0</v>
      </c>
      <c r="AD8" s="28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32">
        <v>0</v>
      </c>
      <c r="AN8" s="36">
        <v>0</v>
      </c>
      <c r="AO8" s="66">
        <v>0</v>
      </c>
      <c r="AP8" s="66">
        <v>0</v>
      </c>
      <c r="AQ8" s="66">
        <v>0</v>
      </c>
      <c r="AR8" s="66"/>
      <c r="AS8" s="66"/>
      <c r="AX8" s="34" t="str">
        <f t="shared" si="15"/>
        <v xml:space="preserve">2005, </v>
      </c>
      <c r="AY8" s="29"/>
      <c r="AZ8" s="29"/>
      <c r="BA8" s="29"/>
      <c r="BB8" s="29"/>
    </row>
    <row r="9" spans="1:57" x14ac:dyDescent="0.2">
      <c r="A9" s="24">
        <f t="shared" si="14"/>
        <v>6</v>
      </c>
      <c r="B9" s="25" t="s">
        <v>62</v>
      </c>
      <c r="C9" s="26" t="s">
        <v>63</v>
      </c>
      <c r="D9" s="25" t="s">
        <v>53</v>
      </c>
      <c r="E9" s="25">
        <v>0</v>
      </c>
      <c r="F9" s="25">
        <v>0.5</v>
      </c>
      <c r="G9" s="25">
        <v>1</v>
      </c>
      <c r="H9" s="25">
        <v>0.5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0</v>
      </c>
      <c r="R9" s="25">
        <v>0</v>
      </c>
      <c r="S9" s="35">
        <v>1</v>
      </c>
      <c r="T9" s="35">
        <v>1</v>
      </c>
      <c r="U9" s="39">
        <v>1</v>
      </c>
      <c r="V9" s="39">
        <v>1</v>
      </c>
      <c r="W9" s="39">
        <v>1</v>
      </c>
      <c r="X9" s="39">
        <v>1</v>
      </c>
      <c r="Y9" s="39">
        <v>1</v>
      </c>
      <c r="Z9" s="39">
        <v>1</v>
      </c>
      <c r="AA9" s="39">
        <v>1</v>
      </c>
      <c r="AB9" s="39">
        <v>1</v>
      </c>
      <c r="AC9" s="39">
        <v>1</v>
      </c>
      <c r="AD9" s="39">
        <v>1</v>
      </c>
      <c r="AE9" s="30">
        <v>1</v>
      </c>
      <c r="AF9" s="30">
        <v>1</v>
      </c>
      <c r="AG9" s="30">
        <v>1</v>
      </c>
      <c r="AH9" s="30">
        <v>1</v>
      </c>
      <c r="AI9" s="30">
        <v>1</v>
      </c>
      <c r="AJ9" s="35">
        <v>1</v>
      </c>
      <c r="AK9" s="30">
        <v>1</v>
      </c>
      <c r="AL9" s="30">
        <v>1</v>
      </c>
      <c r="AM9" s="37">
        <v>1</v>
      </c>
      <c r="AN9" s="36">
        <v>0</v>
      </c>
      <c r="AO9" s="66">
        <v>0</v>
      </c>
      <c r="AP9" s="66">
        <v>0</v>
      </c>
      <c r="AQ9" s="66">
        <v>0</v>
      </c>
      <c r="AR9" s="66"/>
      <c r="AS9" s="66"/>
      <c r="AX9" s="34" t="str">
        <f t="shared" si="15"/>
        <v xml:space="preserve">1986, 1988, 1989, 1990, 1991, 1992, 1993, 1994, 1995, 1998, 1999, 2000, 2001, 2002, 2003, 2004, 2005, 2006, 2007, 2008, 2009, 2010, 2011, 2012, 2013, 2014, 2015, 2016, 2017, 2018, </v>
      </c>
      <c r="AY9" s="29"/>
      <c r="AZ9" s="29"/>
      <c r="BA9" s="29"/>
      <c r="BB9" s="29"/>
    </row>
    <row r="10" spans="1:57" x14ac:dyDescent="0.2">
      <c r="A10" s="24">
        <f t="shared" si="14"/>
        <v>7</v>
      </c>
      <c r="B10" s="25" t="s">
        <v>64</v>
      </c>
      <c r="C10" s="40" t="s">
        <v>65</v>
      </c>
      <c r="D10" s="25" t="s">
        <v>53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1</v>
      </c>
      <c r="U10" s="25">
        <v>0</v>
      </c>
      <c r="V10" s="39">
        <v>1</v>
      </c>
      <c r="W10" s="39">
        <v>1</v>
      </c>
      <c r="X10" s="39">
        <v>1</v>
      </c>
      <c r="Y10" s="39">
        <v>1</v>
      </c>
      <c r="Z10" s="39">
        <v>1</v>
      </c>
      <c r="AA10" s="39">
        <v>1</v>
      </c>
      <c r="AB10" s="39">
        <v>1</v>
      </c>
      <c r="AC10" s="39">
        <v>1</v>
      </c>
      <c r="AD10" s="39">
        <v>1</v>
      </c>
      <c r="AE10" s="30">
        <v>1</v>
      </c>
      <c r="AF10" s="30">
        <v>1</v>
      </c>
      <c r="AG10" s="30">
        <v>1</v>
      </c>
      <c r="AH10" s="30">
        <v>1</v>
      </c>
      <c r="AI10" s="30">
        <v>1</v>
      </c>
      <c r="AJ10" s="30">
        <v>1</v>
      </c>
      <c r="AK10" s="30">
        <v>1</v>
      </c>
      <c r="AL10" s="30">
        <v>1</v>
      </c>
      <c r="AM10" s="37">
        <v>1</v>
      </c>
      <c r="AN10" s="33">
        <v>1</v>
      </c>
      <c r="AO10" s="66">
        <v>0</v>
      </c>
      <c r="AP10" s="66">
        <v>0</v>
      </c>
      <c r="AQ10" s="66">
        <v>0</v>
      </c>
      <c r="AR10" s="66"/>
      <c r="AS10" s="66"/>
      <c r="AX10" s="34" t="str">
        <f t="shared" si="15"/>
        <v xml:space="preserve">1999, 2001, 2002, 2003, 2004, 2005, 2006, 2007, 2008, 2009, 2010, 2011, 2012, 2013, 2014, 2015, 2016, 2017, 2018, 2019, </v>
      </c>
      <c r="AY10" s="29"/>
      <c r="AZ10" s="29"/>
      <c r="BA10" s="29"/>
      <c r="BB10" s="29"/>
    </row>
    <row r="11" spans="1:57" x14ac:dyDescent="0.2">
      <c r="A11" s="24">
        <f t="shared" si="14"/>
        <v>8</v>
      </c>
      <c r="B11" s="25" t="s">
        <v>66</v>
      </c>
      <c r="C11" s="26" t="s">
        <v>67</v>
      </c>
      <c r="D11" s="25" t="s">
        <v>53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2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35">
        <v>1</v>
      </c>
      <c r="W11" s="37">
        <v>1</v>
      </c>
      <c r="X11" s="37">
        <v>1</v>
      </c>
      <c r="Y11" s="37">
        <v>1</v>
      </c>
      <c r="Z11" s="37">
        <v>1</v>
      </c>
      <c r="AA11" s="25">
        <v>0</v>
      </c>
      <c r="AB11" s="25">
        <v>0</v>
      </c>
      <c r="AC11" s="37">
        <v>1</v>
      </c>
      <c r="AD11" s="52">
        <v>0</v>
      </c>
      <c r="AE11" s="37">
        <v>1</v>
      </c>
      <c r="AF11" s="37">
        <v>1</v>
      </c>
      <c r="AG11" s="37">
        <v>1</v>
      </c>
      <c r="AH11" s="37">
        <v>1</v>
      </c>
      <c r="AI11" s="37">
        <v>1</v>
      </c>
      <c r="AJ11" s="37">
        <v>1</v>
      </c>
      <c r="AK11" s="37">
        <v>1</v>
      </c>
      <c r="AL11" s="37">
        <v>1</v>
      </c>
      <c r="AM11" s="37">
        <v>1</v>
      </c>
      <c r="AN11" s="36">
        <v>0</v>
      </c>
      <c r="AO11" s="66">
        <v>0</v>
      </c>
      <c r="AP11" s="66">
        <v>0</v>
      </c>
      <c r="AQ11" s="66">
        <v>0</v>
      </c>
      <c r="AR11" s="66"/>
      <c r="AS11" s="66"/>
      <c r="AX11" s="34" t="str">
        <f t="shared" si="15"/>
        <v xml:space="preserve">1995, 2001, 2002, 2003, 2004, 2005, 2008, 2010, 2011, 2012, 2013, 2014, 2015, 2016, 2017, 2018, </v>
      </c>
      <c r="AY11" s="29"/>
      <c r="AZ11" s="29"/>
      <c r="BA11" s="29"/>
      <c r="BB11" s="29"/>
    </row>
    <row r="12" spans="1:57" x14ac:dyDescent="0.2">
      <c r="A12" s="24">
        <f t="shared" si="14"/>
        <v>9</v>
      </c>
      <c r="B12" s="25" t="s">
        <v>68</v>
      </c>
      <c r="C12" s="40" t="s">
        <v>69</v>
      </c>
      <c r="D12" s="25" t="s">
        <v>53</v>
      </c>
      <c r="E12" s="25">
        <v>0</v>
      </c>
      <c r="F12" s="25">
        <v>2</v>
      </c>
      <c r="G12" s="25">
        <v>1</v>
      </c>
      <c r="H12" s="25">
        <v>0</v>
      </c>
      <c r="I12" s="25">
        <v>1</v>
      </c>
      <c r="J12" s="25">
        <v>1</v>
      </c>
      <c r="K12" s="25">
        <v>0</v>
      </c>
      <c r="L12" s="25">
        <v>1</v>
      </c>
      <c r="M12" s="25">
        <v>1</v>
      </c>
      <c r="N12" s="25">
        <v>0</v>
      </c>
      <c r="O12" s="25">
        <v>1</v>
      </c>
      <c r="P12" s="25">
        <v>1</v>
      </c>
      <c r="Q12" s="25">
        <v>0</v>
      </c>
      <c r="R12" s="25">
        <v>0</v>
      </c>
      <c r="S12" s="25">
        <v>0</v>
      </c>
      <c r="T12" s="25">
        <v>0</v>
      </c>
      <c r="U12" s="30">
        <v>1</v>
      </c>
      <c r="V12" s="25">
        <v>0</v>
      </c>
      <c r="W12" s="25">
        <v>0</v>
      </c>
      <c r="X12" s="25">
        <v>0</v>
      </c>
      <c r="Y12" s="25">
        <v>0</v>
      </c>
      <c r="Z12" s="30">
        <v>1</v>
      </c>
      <c r="AA12" s="25">
        <v>0</v>
      </c>
      <c r="AB12" s="25">
        <v>0</v>
      </c>
      <c r="AC12" s="27">
        <v>0</v>
      </c>
      <c r="AD12" s="28">
        <v>0</v>
      </c>
      <c r="AE12" s="30">
        <v>1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30">
        <v>1</v>
      </c>
      <c r="AL12" s="29">
        <v>0</v>
      </c>
      <c r="AM12" s="32">
        <v>0</v>
      </c>
      <c r="AN12" s="36">
        <v>0</v>
      </c>
      <c r="AO12" s="66">
        <v>0</v>
      </c>
      <c r="AP12" s="66">
        <v>0</v>
      </c>
      <c r="AQ12" s="66">
        <v>0</v>
      </c>
      <c r="AR12" s="66"/>
      <c r="AS12" s="66"/>
      <c r="AX12" s="34" t="str">
        <f t="shared" si="15"/>
        <v xml:space="preserve">1985, 1986, 1988, 1989, 1991, 1992, 1994, 1995, 2000, 2005, 2010, 2016, </v>
      </c>
      <c r="AY12" s="29"/>
      <c r="AZ12" s="29"/>
      <c r="BA12" s="29"/>
      <c r="BB12" s="29"/>
    </row>
    <row r="13" spans="1:57" x14ac:dyDescent="0.2">
      <c r="A13" s="24">
        <f t="shared" si="14"/>
        <v>10</v>
      </c>
      <c r="B13" s="25" t="s">
        <v>70</v>
      </c>
      <c r="C13" s="26" t="s">
        <v>71</v>
      </c>
      <c r="D13" s="25" t="s">
        <v>53</v>
      </c>
      <c r="E13" s="25">
        <v>0</v>
      </c>
      <c r="F13" s="25">
        <v>0</v>
      </c>
      <c r="G13" s="25">
        <v>0</v>
      </c>
      <c r="H13" s="25">
        <v>0</v>
      </c>
      <c r="I13" s="25">
        <v>1</v>
      </c>
      <c r="J13" s="25">
        <v>0</v>
      </c>
      <c r="K13" s="25">
        <v>0</v>
      </c>
      <c r="L13" s="25">
        <v>0</v>
      </c>
      <c r="M13" s="25">
        <v>0</v>
      </c>
      <c r="N13" s="25">
        <v>1</v>
      </c>
      <c r="O13" s="25">
        <v>0</v>
      </c>
      <c r="P13" s="25">
        <v>2</v>
      </c>
      <c r="Q13" s="25">
        <v>0</v>
      </c>
      <c r="R13" s="25">
        <v>0</v>
      </c>
      <c r="S13" s="25">
        <v>1</v>
      </c>
      <c r="T13" s="25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30">
        <v>1</v>
      </c>
      <c r="AA13" s="30">
        <v>1</v>
      </c>
      <c r="AB13" s="30">
        <v>1</v>
      </c>
      <c r="AC13" s="30">
        <v>1</v>
      </c>
      <c r="AD13" s="30">
        <v>1</v>
      </c>
      <c r="AE13" s="30">
        <v>1</v>
      </c>
      <c r="AF13" s="30">
        <v>1</v>
      </c>
      <c r="AG13" s="30">
        <v>1</v>
      </c>
      <c r="AH13" s="30">
        <v>1</v>
      </c>
      <c r="AI13" s="30">
        <v>1</v>
      </c>
      <c r="AJ13" s="30">
        <v>1</v>
      </c>
      <c r="AK13" s="30">
        <v>1</v>
      </c>
      <c r="AL13" s="30">
        <v>1</v>
      </c>
      <c r="AM13" s="32">
        <v>0</v>
      </c>
      <c r="AN13" s="36">
        <v>0</v>
      </c>
      <c r="AO13" s="66">
        <v>0</v>
      </c>
      <c r="AP13" s="66">
        <v>0</v>
      </c>
      <c r="AQ13" s="66">
        <v>0</v>
      </c>
      <c r="AR13" s="66"/>
      <c r="AS13" s="66"/>
      <c r="AX13" s="34" t="str">
        <f t="shared" si="15"/>
        <v xml:space="preserve">1988, 1993, 1995, 1998, 1999, 2000, 2001, 2002, 2003, 2004, 2005, 2006, 2007, 2008, 2009, 2010, 2011, 2012, 2013, 2014, 2015, 2016, 2017, </v>
      </c>
      <c r="AY13" s="29"/>
      <c r="AZ13" s="29"/>
      <c r="BA13" s="29"/>
      <c r="BB13" s="29"/>
    </row>
    <row r="14" spans="1:57" x14ac:dyDescent="0.2">
      <c r="A14" s="24">
        <f t="shared" si="14"/>
        <v>11</v>
      </c>
      <c r="B14" s="25" t="s">
        <v>72</v>
      </c>
      <c r="C14" s="26" t="s">
        <v>73</v>
      </c>
      <c r="D14" s="25" t="s">
        <v>53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1</v>
      </c>
      <c r="T14" s="25">
        <v>1</v>
      </c>
      <c r="U14" s="25">
        <v>0</v>
      </c>
      <c r="V14" s="35">
        <v>1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48">
        <v>1</v>
      </c>
      <c r="AD14" s="39">
        <v>1</v>
      </c>
      <c r="AE14" s="29">
        <v>0</v>
      </c>
      <c r="AF14" s="49">
        <v>1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32">
        <v>0</v>
      </c>
      <c r="AN14" s="36">
        <v>0</v>
      </c>
      <c r="AO14" s="66">
        <v>0</v>
      </c>
      <c r="AP14" s="66">
        <v>0</v>
      </c>
      <c r="AQ14" s="66">
        <v>0</v>
      </c>
      <c r="AR14" s="66"/>
      <c r="AS14" s="66"/>
      <c r="AX14" s="34" t="str">
        <f t="shared" si="15"/>
        <v xml:space="preserve">1998, 1999, 2001, 2008, 2009, 2011, </v>
      </c>
      <c r="AY14" s="29"/>
      <c r="AZ14" s="29"/>
      <c r="BA14" s="29"/>
      <c r="BB14" s="29"/>
    </row>
    <row r="15" spans="1:57" x14ac:dyDescent="0.2">
      <c r="A15" s="24">
        <f t="shared" si="14"/>
        <v>12</v>
      </c>
      <c r="B15" s="25" t="s">
        <v>74</v>
      </c>
      <c r="C15" s="26" t="s">
        <v>75</v>
      </c>
      <c r="D15" s="25" t="s">
        <v>53</v>
      </c>
      <c r="E15" s="25">
        <v>0</v>
      </c>
      <c r="F15" s="25">
        <v>0</v>
      </c>
      <c r="G15" s="25">
        <v>1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0.5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46">
        <v>1</v>
      </c>
      <c r="Y15" s="25">
        <v>0</v>
      </c>
      <c r="Z15" s="25">
        <v>0</v>
      </c>
      <c r="AA15" s="35">
        <v>1</v>
      </c>
      <c r="AB15" s="25">
        <v>0</v>
      </c>
      <c r="AC15" s="27">
        <v>0</v>
      </c>
      <c r="AD15" s="28">
        <v>0</v>
      </c>
      <c r="AE15" s="50">
        <v>1</v>
      </c>
      <c r="AF15" s="30">
        <v>1</v>
      </c>
      <c r="AG15" s="29">
        <v>0</v>
      </c>
      <c r="AH15" s="50">
        <v>1</v>
      </c>
      <c r="AI15" s="29">
        <v>0</v>
      </c>
      <c r="AJ15" s="30">
        <v>1</v>
      </c>
      <c r="AK15" s="29">
        <v>0</v>
      </c>
      <c r="AL15" s="29">
        <v>0</v>
      </c>
      <c r="AM15" s="37">
        <v>1</v>
      </c>
      <c r="AN15" s="36">
        <v>0</v>
      </c>
      <c r="AO15" s="66">
        <v>0</v>
      </c>
      <c r="AP15" s="66">
        <v>0</v>
      </c>
      <c r="AQ15" s="66">
        <v>0</v>
      </c>
      <c r="AR15" s="66"/>
      <c r="AS15" s="66"/>
      <c r="AX15" s="34" t="str">
        <f t="shared" si="15"/>
        <v xml:space="preserve">1986, 2003, 2006, 2010, 2011, 2013, 2015, 2018, </v>
      </c>
      <c r="AY15" s="29"/>
      <c r="AZ15" s="29"/>
      <c r="BA15" s="29"/>
      <c r="BB15" s="29"/>
    </row>
    <row r="16" spans="1:57" x14ac:dyDescent="0.2">
      <c r="A16" s="24">
        <f t="shared" si="14"/>
        <v>13</v>
      </c>
      <c r="B16" s="25" t="s">
        <v>76</v>
      </c>
      <c r="C16" s="26" t="s">
        <v>77</v>
      </c>
      <c r="D16" s="25" t="s">
        <v>53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1</v>
      </c>
      <c r="Q16" s="25">
        <v>0</v>
      </c>
      <c r="R16" s="25">
        <v>0</v>
      </c>
      <c r="S16" s="25">
        <v>0</v>
      </c>
      <c r="T16" s="25">
        <v>0</v>
      </c>
      <c r="U16" s="25">
        <v>1</v>
      </c>
      <c r="V16" s="25">
        <v>0</v>
      </c>
      <c r="W16" s="25">
        <v>0</v>
      </c>
      <c r="X16" s="30">
        <v>1</v>
      </c>
      <c r="Y16" s="25">
        <v>0</v>
      </c>
      <c r="Z16" s="25">
        <v>0</v>
      </c>
      <c r="AA16" s="25">
        <v>0</v>
      </c>
      <c r="AB16" s="30">
        <v>1</v>
      </c>
      <c r="AC16" s="27">
        <v>0</v>
      </c>
      <c r="AD16" s="28">
        <v>0</v>
      </c>
      <c r="AE16" s="49">
        <v>1</v>
      </c>
      <c r="AF16" s="29">
        <v>0</v>
      </c>
      <c r="AG16" s="30">
        <v>1</v>
      </c>
      <c r="AH16" s="29">
        <v>0</v>
      </c>
      <c r="AI16" s="29">
        <v>0</v>
      </c>
      <c r="AJ16" s="29">
        <v>0</v>
      </c>
      <c r="AK16" s="29">
        <v>0</v>
      </c>
      <c r="AL16" s="30">
        <v>1</v>
      </c>
      <c r="AM16" s="32">
        <v>0</v>
      </c>
      <c r="AN16" s="36">
        <v>0</v>
      </c>
      <c r="AO16" s="66">
        <v>0</v>
      </c>
      <c r="AP16" s="66">
        <v>0</v>
      </c>
      <c r="AQ16" s="66">
        <v>0</v>
      </c>
      <c r="AR16" s="66"/>
      <c r="AS16" s="66"/>
      <c r="AX16" s="34" t="str">
        <f t="shared" si="15"/>
        <v xml:space="preserve">1995, 2000, 2003, 2007, 2010, 2012, 2017, </v>
      </c>
      <c r="AY16" s="29"/>
      <c r="AZ16" s="29"/>
      <c r="BA16" s="29"/>
      <c r="BB16" s="29"/>
    </row>
    <row r="17" spans="1:54" x14ac:dyDescent="0.2">
      <c r="A17" s="24">
        <f t="shared" si="14"/>
        <v>14</v>
      </c>
      <c r="B17" s="25" t="s">
        <v>78</v>
      </c>
      <c r="C17" s="26" t="s">
        <v>79</v>
      </c>
      <c r="D17" s="25" t="s">
        <v>53</v>
      </c>
      <c r="E17" s="25">
        <v>0</v>
      </c>
      <c r="F17" s="25">
        <v>0</v>
      </c>
      <c r="G17" s="25">
        <v>1.5</v>
      </c>
      <c r="H17" s="25">
        <v>0</v>
      </c>
      <c r="I17" s="25">
        <v>0</v>
      </c>
      <c r="J17" s="25">
        <v>1</v>
      </c>
      <c r="K17" s="25">
        <v>1</v>
      </c>
      <c r="L17" s="25">
        <v>1</v>
      </c>
      <c r="M17" s="25">
        <v>0</v>
      </c>
      <c r="N17" s="25">
        <v>1</v>
      </c>
      <c r="O17" s="25">
        <v>1</v>
      </c>
      <c r="P17" s="25">
        <v>1</v>
      </c>
      <c r="Q17" s="25">
        <v>0</v>
      </c>
      <c r="R17" s="25">
        <v>0</v>
      </c>
      <c r="S17" s="25">
        <v>0</v>
      </c>
      <c r="T17" s="35">
        <v>1</v>
      </c>
      <c r="U17" s="39">
        <v>1</v>
      </c>
      <c r="V17" s="39">
        <v>1</v>
      </c>
      <c r="W17" s="39">
        <v>1</v>
      </c>
      <c r="X17" s="35">
        <v>1</v>
      </c>
      <c r="Y17" s="39">
        <v>1</v>
      </c>
      <c r="Z17" s="39">
        <v>1</v>
      </c>
      <c r="AA17" s="39">
        <v>1</v>
      </c>
      <c r="AB17" s="39">
        <v>1</v>
      </c>
      <c r="AC17" s="39">
        <v>1</v>
      </c>
      <c r="AD17" s="39">
        <v>1</v>
      </c>
      <c r="AE17" s="29">
        <v>0</v>
      </c>
      <c r="AF17" s="30">
        <v>1</v>
      </c>
      <c r="AG17" s="30">
        <v>1</v>
      </c>
      <c r="AH17" s="30">
        <v>1</v>
      </c>
      <c r="AI17" s="30">
        <v>1</v>
      </c>
      <c r="AJ17" s="30">
        <v>1</v>
      </c>
      <c r="AK17" s="30">
        <v>1</v>
      </c>
      <c r="AL17" s="30">
        <v>1</v>
      </c>
      <c r="AM17" s="37">
        <v>1</v>
      </c>
      <c r="AN17" s="50">
        <v>1</v>
      </c>
      <c r="AO17" s="66">
        <v>0</v>
      </c>
      <c r="AP17" s="66">
        <v>0</v>
      </c>
      <c r="AQ17" s="66">
        <v>0</v>
      </c>
      <c r="AR17" s="66"/>
      <c r="AS17" s="66"/>
      <c r="AX17" s="34" t="str">
        <f t="shared" si="15"/>
        <v xml:space="preserve">1986, 1989, 1990, 1991, 1993, 1994, 1995, 1999, 2000, 2001, 2002, 2003, 2004, 2005, 2006, 2007, 2008, 2009, 2011, 2012, 2013, 2014, 2015, 2016, 2017, 2018, 2019, </v>
      </c>
      <c r="AY17" s="29"/>
      <c r="AZ17" s="29"/>
      <c r="BA17" s="29"/>
      <c r="BB17" s="29"/>
    </row>
    <row r="18" spans="1:54" x14ac:dyDescent="0.2">
      <c r="A18" s="24">
        <f t="shared" si="14"/>
        <v>15</v>
      </c>
      <c r="B18" s="25" t="s">
        <v>80</v>
      </c>
      <c r="C18" s="26" t="s">
        <v>81</v>
      </c>
      <c r="D18" s="25" t="s">
        <v>53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46">
        <v>1</v>
      </c>
      <c r="W18" s="35">
        <v>1</v>
      </c>
      <c r="X18" s="35">
        <v>1</v>
      </c>
      <c r="Y18" s="46">
        <v>1</v>
      </c>
      <c r="Z18" s="25">
        <v>0</v>
      </c>
      <c r="AA18" s="25">
        <v>0</v>
      </c>
      <c r="AB18" s="46">
        <v>1</v>
      </c>
      <c r="AC18" s="27">
        <v>0</v>
      </c>
      <c r="AD18" s="28">
        <v>0</v>
      </c>
      <c r="AE18" s="29">
        <v>0</v>
      </c>
      <c r="AF18" s="30">
        <v>1</v>
      </c>
      <c r="AG18" s="29">
        <v>0</v>
      </c>
      <c r="AH18" s="29">
        <v>0</v>
      </c>
      <c r="AI18" s="29">
        <v>0</v>
      </c>
      <c r="AJ18" s="30">
        <v>1</v>
      </c>
      <c r="AK18" s="29">
        <v>0</v>
      </c>
      <c r="AL18" s="29">
        <v>0</v>
      </c>
      <c r="AM18" s="32">
        <v>0</v>
      </c>
      <c r="AN18" s="36">
        <v>0</v>
      </c>
      <c r="AO18" s="66">
        <v>0</v>
      </c>
      <c r="AP18" s="66">
        <v>0</v>
      </c>
      <c r="AQ18" s="66">
        <v>0</v>
      </c>
      <c r="AR18" s="66"/>
      <c r="AS18" s="66"/>
      <c r="AX18" s="34" t="str">
        <f t="shared" si="15"/>
        <v xml:space="preserve">2001, 2002, 2003, 2004, 2007, 2011, 2015, </v>
      </c>
      <c r="AY18" s="29"/>
      <c r="AZ18" s="29"/>
      <c r="BA18" s="29"/>
      <c r="BB18" s="29"/>
    </row>
    <row r="19" spans="1:54" x14ac:dyDescent="0.2">
      <c r="A19" s="24">
        <f t="shared" si="14"/>
        <v>16</v>
      </c>
      <c r="B19" s="25" t="s">
        <v>82</v>
      </c>
      <c r="C19" s="26" t="s">
        <v>83</v>
      </c>
      <c r="D19" s="25" t="s">
        <v>53</v>
      </c>
      <c r="E19" s="25">
        <v>0</v>
      </c>
      <c r="F19" s="25">
        <v>1</v>
      </c>
      <c r="G19" s="25">
        <v>1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1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46">
        <v>1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7">
        <v>0</v>
      </c>
      <c r="AD19" s="39">
        <v>1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30">
        <v>1</v>
      </c>
      <c r="AK19" s="29">
        <v>0</v>
      </c>
      <c r="AL19" s="29">
        <v>0</v>
      </c>
      <c r="AM19" s="32">
        <v>0</v>
      </c>
      <c r="AN19" s="36">
        <v>0</v>
      </c>
      <c r="AO19" s="66">
        <v>0</v>
      </c>
      <c r="AP19" s="66">
        <v>0</v>
      </c>
      <c r="AQ19" s="66">
        <v>0</v>
      </c>
      <c r="AR19" s="66"/>
      <c r="AS19" s="66"/>
      <c r="AX19" s="34" t="str">
        <f t="shared" si="15"/>
        <v xml:space="preserve">1985, 1986, 1994, 2002, 2009, 2015, </v>
      </c>
      <c r="AY19" s="29"/>
      <c r="AZ19" s="29"/>
      <c r="BA19" s="29"/>
      <c r="BB19" s="29"/>
    </row>
    <row r="20" spans="1:54" x14ac:dyDescent="0.2">
      <c r="A20" s="24">
        <f t="shared" si="14"/>
        <v>17</v>
      </c>
      <c r="B20" s="25" t="s">
        <v>84</v>
      </c>
      <c r="C20" s="26" t="s">
        <v>85</v>
      </c>
      <c r="D20" s="25" t="s">
        <v>53</v>
      </c>
      <c r="E20" s="25">
        <v>0</v>
      </c>
      <c r="F20" s="25">
        <v>2</v>
      </c>
      <c r="G20" s="25">
        <v>1</v>
      </c>
      <c r="H20" s="25">
        <v>2</v>
      </c>
      <c r="I20" s="25">
        <v>1</v>
      </c>
      <c r="J20" s="25">
        <v>2</v>
      </c>
      <c r="K20" s="25">
        <v>2</v>
      </c>
      <c r="L20" s="25">
        <v>0</v>
      </c>
      <c r="M20" s="25">
        <v>2</v>
      </c>
      <c r="N20" s="25">
        <v>2</v>
      </c>
      <c r="O20" s="25">
        <v>0</v>
      </c>
      <c r="P20" s="25">
        <v>2</v>
      </c>
      <c r="Q20" s="25">
        <v>0</v>
      </c>
      <c r="R20" s="25">
        <v>0</v>
      </c>
      <c r="S20" s="25">
        <v>1</v>
      </c>
      <c r="T20" s="25">
        <v>1</v>
      </c>
      <c r="U20" s="25">
        <v>0</v>
      </c>
      <c r="V20" s="39">
        <v>1</v>
      </c>
      <c r="W20" s="39">
        <v>1</v>
      </c>
      <c r="X20" s="39">
        <v>1</v>
      </c>
      <c r="Y20" s="39">
        <v>1</v>
      </c>
      <c r="Z20" s="39">
        <v>1</v>
      </c>
      <c r="AA20" s="39">
        <v>1</v>
      </c>
      <c r="AB20" s="39">
        <v>1</v>
      </c>
      <c r="AC20" s="39">
        <v>1</v>
      </c>
      <c r="AD20" s="39">
        <v>1</v>
      </c>
      <c r="AE20" s="35">
        <v>1</v>
      </c>
      <c r="AF20" s="30">
        <v>1</v>
      </c>
      <c r="AG20" s="30">
        <v>1</v>
      </c>
      <c r="AH20" s="30">
        <v>1</v>
      </c>
      <c r="AI20" s="30">
        <v>1</v>
      </c>
      <c r="AJ20" s="30">
        <v>1</v>
      </c>
      <c r="AK20" s="30">
        <v>1</v>
      </c>
      <c r="AL20" s="30">
        <v>1</v>
      </c>
      <c r="AM20" s="50">
        <v>1</v>
      </c>
      <c r="AN20" s="36">
        <v>0</v>
      </c>
      <c r="AO20" s="66">
        <v>0</v>
      </c>
      <c r="AP20" s="66">
        <v>0</v>
      </c>
      <c r="AQ20" s="66">
        <v>0</v>
      </c>
      <c r="AR20" s="66"/>
      <c r="AS20" s="66"/>
      <c r="AX20" s="34" t="str">
        <f t="shared" si="15"/>
        <v xml:space="preserve">1985, 1986, 1987, 1988, 1989, 1990, 1992, 1993, 1995, 1998, 1999, 2001, 2002, 2003, 2004, 2005, 2006, 2007, 2008, 2009, 2010, 2011, 2012, 2013, 2014, 2015, 2016, 2017, 2018, </v>
      </c>
      <c r="AY20" s="29"/>
      <c r="AZ20" s="29"/>
      <c r="BA20" s="29"/>
      <c r="BB20" s="29"/>
    </row>
    <row r="21" spans="1:54" x14ac:dyDescent="0.2">
      <c r="A21" s="24">
        <f t="shared" si="14"/>
        <v>18</v>
      </c>
      <c r="B21" s="25" t="s">
        <v>86</v>
      </c>
      <c r="C21" s="26" t="s">
        <v>87</v>
      </c>
      <c r="D21" s="25" t="s">
        <v>53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1</v>
      </c>
      <c r="K21" s="25">
        <v>0</v>
      </c>
      <c r="L21" s="25">
        <v>0</v>
      </c>
      <c r="M21" s="25">
        <v>1</v>
      </c>
      <c r="N21" s="25">
        <v>0</v>
      </c>
      <c r="O21" s="25">
        <v>2</v>
      </c>
      <c r="P21" s="25">
        <v>2</v>
      </c>
      <c r="Q21" s="25">
        <v>0</v>
      </c>
      <c r="R21" s="25">
        <v>1</v>
      </c>
      <c r="S21" s="25">
        <v>0</v>
      </c>
      <c r="T21" s="25">
        <v>0</v>
      </c>
      <c r="U21" s="25">
        <v>0</v>
      </c>
      <c r="V21" s="46">
        <v>1</v>
      </c>
      <c r="W21" s="25">
        <v>0</v>
      </c>
      <c r="X21" s="46">
        <v>1</v>
      </c>
      <c r="Y21" s="25">
        <v>0</v>
      </c>
      <c r="Z21" s="25">
        <v>0</v>
      </c>
      <c r="AA21" s="25">
        <v>0</v>
      </c>
      <c r="AB21" s="46">
        <v>1</v>
      </c>
      <c r="AC21" s="46">
        <v>1</v>
      </c>
      <c r="AD21" s="39">
        <v>1</v>
      </c>
      <c r="AE21" s="30">
        <v>1</v>
      </c>
      <c r="AF21" s="30">
        <v>1</v>
      </c>
      <c r="AG21" s="30">
        <v>1</v>
      </c>
      <c r="AH21" s="30">
        <v>1</v>
      </c>
      <c r="AI21" s="30">
        <v>1</v>
      </c>
      <c r="AJ21" s="30">
        <v>1</v>
      </c>
      <c r="AK21" s="30">
        <v>1</v>
      </c>
      <c r="AL21" s="30">
        <v>1</v>
      </c>
      <c r="AM21" s="50">
        <v>1</v>
      </c>
      <c r="AN21" s="36">
        <v>0</v>
      </c>
      <c r="AO21" s="66">
        <v>0</v>
      </c>
      <c r="AP21" s="66">
        <v>0</v>
      </c>
      <c r="AQ21" s="66">
        <v>0</v>
      </c>
      <c r="AR21" s="66"/>
      <c r="AS21" s="66"/>
      <c r="AX21" s="34" t="str">
        <f t="shared" si="15"/>
        <v xml:space="preserve">1989, 1992, 1994, 1995, 1997, 2001, 2003, 2007, 2008, 2009, 2010, 2011, 2012, 2013, 2014, 2015, 2016, 2017, 2018, </v>
      </c>
      <c r="AY21" s="29"/>
      <c r="AZ21" s="29"/>
      <c r="BA21" s="29"/>
      <c r="BB21" s="29"/>
    </row>
    <row r="22" spans="1:54" x14ac:dyDescent="0.2">
      <c r="A22" s="24">
        <f t="shared" si="14"/>
        <v>19</v>
      </c>
      <c r="B22" s="25" t="s">
        <v>88</v>
      </c>
      <c r="C22" s="26" t="s">
        <v>89</v>
      </c>
      <c r="D22" s="25" t="s">
        <v>53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2</v>
      </c>
      <c r="P22" s="25">
        <v>0</v>
      </c>
      <c r="Q22" s="25">
        <v>0</v>
      </c>
      <c r="R22" s="25">
        <v>0</v>
      </c>
      <c r="S22" s="25">
        <v>1</v>
      </c>
      <c r="T22" s="25">
        <v>0</v>
      </c>
      <c r="U22" s="25">
        <v>0</v>
      </c>
      <c r="V22" s="25">
        <v>0</v>
      </c>
      <c r="W22" s="25">
        <v>0</v>
      </c>
      <c r="X22" s="46">
        <v>1</v>
      </c>
      <c r="Y22" s="25">
        <v>0</v>
      </c>
      <c r="Z22" s="35">
        <v>1</v>
      </c>
      <c r="AA22" s="25">
        <v>0</v>
      </c>
      <c r="AB22" s="35">
        <v>1</v>
      </c>
      <c r="AC22" s="27">
        <v>0</v>
      </c>
      <c r="AD22" s="39">
        <v>1</v>
      </c>
      <c r="AE22" s="29">
        <v>0</v>
      </c>
      <c r="AF22" s="29">
        <v>0</v>
      </c>
      <c r="AG22" s="29">
        <v>0</v>
      </c>
      <c r="AH22" s="29">
        <v>0</v>
      </c>
      <c r="AI22" s="30">
        <v>1</v>
      </c>
      <c r="AJ22" s="29">
        <v>0</v>
      </c>
      <c r="AK22" s="29">
        <v>0</v>
      </c>
      <c r="AL22" s="29">
        <v>0</v>
      </c>
      <c r="AM22" s="37">
        <v>1</v>
      </c>
      <c r="AN22" s="36">
        <v>0</v>
      </c>
      <c r="AO22" s="66">
        <v>0</v>
      </c>
      <c r="AP22" s="66">
        <v>1</v>
      </c>
      <c r="AQ22" s="66">
        <v>0</v>
      </c>
      <c r="AR22" s="66"/>
      <c r="AS22" s="66"/>
      <c r="AX22" s="34" t="str">
        <f t="shared" si="15"/>
        <v xml:space="preserve">1994, 1998, 2003, 2005, 2007, 2009, 2014, 2018, 2021, </v>
      </c>
      <c r="AY22" s="29"/>
      <c r="AZ22" s="29"/>
      <c r="BA22" s="29"/>
      <c r="BB22" s="29"/>
    </row>
    <row r="23" spans="1:54" x14ac:dyDescent="0.2">
      <c r="A23" s="24">
        <f t="shared" si="14"/>
        <v>20</v>
      </c>
      <c r="B23" s="25" t="s">
        <v>90</v>
      </c>
      <c r="C23" s="26" t="s">
        <v>91</v>
      </c>
      <c r="D23" s="25" t="s">
        <v>53</v>
      </c>
      <c r="E23" s="25">
        <v>0</v>
      </c>
      <c r="F23" s="25">
        <v>0</v>
      </c>
      <c r="G23" s="25">
        <v>1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1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1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46">
        <v>1</v>
      </c>
      <c r="AB23" s="25">
        <v>0</v>
      </c>
      <c r="AC23" s="27">
        <v>0</v>
      </c>
      <c r="AD23" s="28">
        <v>0</v>
      </c>
      <c r="AE23" s="29">
        <v>0</v>
      </c>
      <c r="AF23" s="29">
        <v>0</v>
      </c>
      <c r="AG23" s="29">
        <v>0</v>
      </c>
      <c r="AH23" s="30">
        <v>1</v>
      </c>
      <c r="AI23" s="29">
        <v>1</v>
      </c>
      <c r="AJ23" s="29">
        <v>0</v>
      </c>
      <c r="AK23" s="29">
        <v>0</v>
      </c>
      <c r="AL23" s="30">
        <v>1</v>
      </c>
      <c r="AM23" s="32">
        <v>0</v>
      </c>
      <c r="AN23" s="36">
        <v>0</v>
      </c>
      <c r="AO23" s="66">
        <v>0</v>
      </c>
      <c r="AP23" s="66">
        <v>0</v>
      </c>
      <c r="AQ23" s="66">
        <v>0</v>
      </c>
      <c r="AR23" s="66"/>
      <c r="AS23" s="66"/>
      <c r="AX23" s="34" t="str">
        <f t="shared" si="15"/>
        <v xml:space="preserve">1986, 1992, 1998, 2006, 2013, 2014, 2017, </v>
      </c>
      <c r="AY23" s="29"/>
      <c r="AZ23" s="29"/>
      <c r="BA23" s="29"/>
      <c r="BB23" s="29"/>
    </row>
    <row r="24" spans="1:54" x14ac:dyDescent="0.2">
      <c r="A24" s="24">
        <f t="shared" si="14"/>
        <v>21</v>
      </c>
      <c r="B24" s="25" t="s">
        <v>92</v>
      </c>
      <c r="C24" s="26" t="s">
        <v>93</v>
      </c>
      <c r="D24" s="25" t="s">
        <v>53</v>
      </c>
      <c r="E24" s="25">
        <v>0</v>
      </c>
      <c r="F24" s="25">
        <v>0</v>
      </c>
      <c r="G24" s="25">
        <v>0</v>
      </c>
      <c r="H24" s="25">
        <v>0</v>
      </c>
      <c r="I24" s="25">
        <v>1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46">
        <v>1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46">
        <v>1</v>
      </c>
      <c r="AC24" s="27">
        <v>0</v>
      </c>
      <c r="AD24" s="28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30">
        <v>1</v>
      </c>
      <c r="AK24" s="29">
        <v>0</v>
      </c>
      <c r="AL24" s="29">
        <v>0</v>
      </c>
      <c r="AM24" s="32">
        <v>0</v>
      </c>
      <c r="AN24" s="36">
        <v>0</v>
      </c>
      <c r="AO24" s="66">
        <v>0</v>
      </c>
      <c r="AP24" s="66">
        <v>0</v>
      </c>
      <c r="AQ24" s="66">
        <v>0</v>
      </c>
      <c r="AR24" s="66"/>
      <c r="AS24" s="66"/>
      <c r="AX24" s="34" t="str">
        <f t="shared" si="15"/>
        <v xml:space="preserve">1988, 2001, 2007, 2015, </v>
      </c>
      <c r="AY24" s="29"/>
      <c r="AZ24" s="29"/>
      <c r="BA24" s="29"/>
      <c r="BB24" s="29"/>
    </row>
    <row r="25" spans="1:54" x14ac:dyDescent="0.2">
      <c r="A25" s="24">
        <f t="shared" si="14"/>
        <v>22</v>
      </c>
      <c r="B25" s="25" t="s">
        <v>94</v>
      </c>
      <c r="C25" s="34" t="s">
        <v>95</v>
      </c>
      <c r="D25" s="25" t="s">
        <v>53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1</v>
      </c>
      <c r="O25" s="25">
        <v>1</v>
      </c>
      <c r="P25" s="25">
        <v>0</v>
      </c>
      <c r="Q25" s="25">
        <v>0</v>
      </c>
      <c r="R25" s="25">
        <v>0</v>
      </c>
      <c r="S25" s="25">
        <v>0</v>
      </c>
      <c r="T25" s="25">
        <v>1</v>
      </c>
      <c r="U25" s="25">
        <v>0</v>
      </c>
      <c r="V25" s="25">
        <v>0</v>
      </c>
      <c r="W25" s="25">
        <v>0</v>
      </c>
      <c r="X25" s="47">
        <v>1</v>
      </c>
      <c r="Y25" s="25">
        <v>0</v>
      </c>
      <c r="Z25" s="49">
        <v>1</v>
      </c>
      <c r="AA25" s="25">
        <v>0</v>
      </c>
      <c r="AB25" s="47">
        <v>1</v>
      </c>
      <c r="AC25" s="47">
        <v>1</v>
      </c>
      <c r="AD25" s="39">
        <v>1</v>
      </c>
      <c r="AE25" s="30">
        <v>1</v>
      </c>
      <c r="AF25" s="30">
        <v>1</v>
      </c>
      <c r="AG25" s="30">
        <v>1</v>
      </c>
      <c r="AH25" s="30">
        <v>1</v>
      </c>
      <c r="AI25" s="30">
        <v>1</v>
      </c>
      <c r="AJ25" s="30">
        <v>1</v>
      </c>
      <c r="AK25" s="30">
        <v>1</v>
      </c>
      <c r="AL25" s="30">
        <v>1</v>
      </c>
      <c r="AM25" s="32">
        <v>0</v>
      </c>
      <c r="AN25" s="33">
        <v>1</v>
      </c>
      <c r="AO25" s="66">
        <v>0</v>
      </c>
      <c r="AP25" s="66">
        <v>0</v>
      </c>
      <c r="AQ25" s="66">
        <v>0</v>
      </c>
      <c r="AR25" s="66"/>
      <c r="AS25" s="66"/>
      <c r="AX25" s="34" t="str">
        <f t="shared" si="15"/>
        <v xml:space="preserve">1993, 1994, 1999, 2003, 2005, 2007, 2008, 2009, 2010, 2011, 2012, 2013, 2014, 2015, 2016, 2017, 2019, </v>
      </c>
      <c r="AY25" s="29"/>
      <c r="AZ25" s="29"/>
      <c r="BA25" s="29"/>
      <c r="BB25" s="29"/>
    </row>
    <row r="26" spans="1:54" x14ac:dyDescent="0.2">
      <c r="A26" s="24">
        <f t="shared" si="14"/>
        <v>23</v>
      </c>
      <c r="B26" s="25" t="s">
        <v>96</v>
      </c>
      <c r="C26" s="42" t="s">
        <v>97</v>
      </c>
      <c r="D26" s="25" t="s">
        <v>53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46">
        <v>1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46">
        <v>1</v>
      </c>
      <c r="AC26" s="27">
        <v>0</v>
      </c>
      <c r="AD26" s="28">
        <v>0</v>
      </c>
      <c r="AE26" s="29">
        <v>0</v>
      </c>
      <c r="AF26" s="29">
        <v>0</v>
      </c>
      <c r="AG26" s="29">
        <v>0</v>
      </c>
      <c r="AH26" s="29">
        <v>0</v>
      </c>
      <c r="AI26" s="30">
        <v>1</v>
      </c>
      <c r="AJ26" s="29">
        <v>0</v>
      </c>
      <c r="AK26" s="29">
        <v>0</v>
      </c>
      <c r="AL26" s="29">
        <v>0</v>
      </c>
      <c r="AM26" s="32">
        <v>0</v>
      </c>
      <c r="AN26" s="36">
        <v>0</v>
      </c>
      <c r="AO26" s="66">
        <v>0</v>
      </c>
      <c r="AP26" s="66">
        <v>1</v>
      </c>
      <c r="AQ26" s="66">
        <v>0</v>
      </c>
      <c r="AR26" s="66"/>
      <c r="AS26" s="66"/>
      <c r="AX26" s="34" t="str">
        <f t="shared" si="15"/>
        <v xml:space="preserve">2001, 2007, 2014, 2021, </v>
      </c>
      <c r="AY26" s="29"/>
      <c r="AZ26" s="29"/>
      <c r="BA26" s="29"/>
      <c r="BB26" s="29"/>
    </row>
    <row r="27" spans="1:54" x14ac:dyDescent="0.2">
      <c r="A27" s="24">
        <f t="shared" si="14"/>
        <v>24</v>
      </c>
      <c r="B27" s="25" t="s">
        <v>98</v>
      </c>
      <c r="C27" s="26" t="s">
        <v>99</v>
      </c>
      <c r="D27" s="25" t="s">
        <v>53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1</v>
      </c>
      <c r="N27" s="25">
        <v>1</v>
      </c>
      <c r="O27" s="25">
        <v>0</v>
      </c>
      <c r="P27" s="25">
        <v>1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9">
        <v>0</v>
      </c>
      <c r="Y27" s="25">
        <v>0</v>
      </c>
      <c r="Z27" s="25">
        <v>0</v>
      </c>
      <c r="AA27" s="25">
        <v>0</v>
      </c>
      <c r="AB27" s="25">
        <v>0</v>
      </c>
      <c r="AC27" s="47">
        <v>1</v>
      </c>
      <c r="AD27" s="28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32">
        <v>0</v>
      </c>
      <c r="AN27" s="36">
        <v>0</v>
      </c>
      <c r="AO27" s="66">
        <v>0</v>
      </c>
      <c r="AP27" s="66">
        <v>0</v>
      </c>
      <c r="AQ27" s="66">
        <v>0</v>
      </c>
      <c r="AR27" s="66"/>
      <c r="AS27" s="66"/>
      <c r="AX27" s="34" t="str">
        <f t="shared" si="15"/>
        <v xml:space="preserve">1992, 1993, 1995, 2008, </v>
      </c>
      <c r="AY27" s="29"/>
      <c r="AZ27" s="29"/>
      <c r="BA27" s="29"/>
      <c r="BB27" s="29"/>
    </row>
    <row r="28" spans="1:54" x14ac:dyDescent="0.2">
      <c r="A28" s="24">
        <f t="shared" si="14"/>
        <v>25</v>
      </c>
      <c r="B28" s="25" t="s">
        <v>100</v>
      </c>
      <c r="C28" s="26" t="s">
        <v>101</v>
      </c>
      <c r="D28" s="25" t="s">
        <v>53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1</v>
      </c>
      <c r="K28" s="25">
        <v>0</v>
      </c>
      <c r="L28" s="25">
        <v>1</v>
      </c>
      <c r="M28" s="25">
        <v>0</v>
      </c>
      <c r="N28" s="25">
        <v>0</v>
      </c>
      <c r="O28" s="25">
        <v>0</v>
      </c>
      <c r="P28" s="25">
        <v>1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30">
        <v>1</v>
      </c>
      <c r="Y28" s="25">
        <v>0</v>
      </c>
      <c r="Z28" s="25">
        <v>0</v>
      </c>
      <c r="AA28" s="25">
        <v>0</v>
      </c>
      <c r="AB28" s="25">
        <v>0</v>
      </c>
      <c r="AC28" s="27">
        <v>0</v>
      </c>
      <c r="AD28" s="28">
        <v>0</v>
      </c>
      <c r="AE28" s="29">
        <v>0</v>
      </c>
      <c r="AF28" s="30">
        <v>1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37">
        <v>1</v>
      </c>
      <c r="AN28" s="36">
        <v>0</v>
      </c>
      <c r="AO28" s="66">
        <v>0</v>
      </c>
      <c r="AP28" s="66">
        <v>0</v>
      </c>
      <c r="AQ28" s="66">
        <v>0</v>
      </c>
      <c r="AR28" s="66"/>
      <c r="AS28" s="66"/>
      <c r="AX28" s="34" t="str">
        <f t="shared" si="15"/>
        <v xml:space="preserve">1989, 1991, 1995, 2003, 2011, 2018, </v>
      </c>
      <c r="AY28" s="29"/>
      <c r="AZ28" s="29"/>
      <c r="BA28" s="29"/>
      <c r="BB28" s="29"/>
    </row>
    <row r="29" spans="1:54" x14ac:dyDescent="0.2">
      <c r="A29" s="24">
        <f t="shared" si="14"/>
        <v>26</v>
      </c>
      <c r="B29" s="25" t="s">
        <v>102</v>
      </c>
      <c r="C29" s="26" t="s">
        <v>103</v>
      </c>
      <c r="D29" s="25" t="s">
        <v>53</v>
      </c>
      <c r="E29" s="25">
        <v>0</v>
      </c>
      <c r="F29" s="25">
        <v>0</v>
      </c>
      <c r="G29" s="25">
        <v>0</v>
      </c>
      <c r="H29" s="25">
        <v>2</v>
      </c>
      <c r="I29" s="25">
        <v>0</v>
      </c>
      <c r="J29" s="25">
        <v>1</v>
      </c>
      <c r="K29" s="25">
        <v>2</v>
      </c>
      <c r="L29" s="25">
        <v>0</v>
      </c>
      <c r="M29" s="25">
        <v>2</v>
      </c>
      <c r="N29" s="25">
        <v>0</v>
      </c>
      <c r="O29" s="25">
        <v>2</v>
      </c>
      <c r="P29" s="25">
        <v>1</v>
      </c>
      <c r="Q29" s="25">
        <v>0</v>
      </c>
      <c r="R29" s="25">
        <v>0</v>
      </c>
      <c r="S29" s="25">
        <v>1</v>
      </c>
      <c r="T29" s="25">
        <v>0</v>
      </c>
      <c r="U29" s="46">
        <v>1</v>
      </c>
      <c r="V29" s="25">
        <v>0</v>
      </c>
      <c r="W29" s="25">
        <v>0</v>
      </c>
      <c r="X29" s="46">
        <v>1</v>
      </c>
      <c r="Y29" s="25">
        <v>0</v>
      </c>
      <c r="Z29" s="25">
        <v>0</v>
      </c>
      <c r="AA29" s="46">
        <v>1</v>
      </c>
      <c r="AB29" s="25">
        <v>0</v>
      </c>
      <c r="AC29" s="27">
        <v>0</v>
      </c>
      <c r="AD29" s="39">
        <v>1</v>
      </c>
      <c r="AE29" s="29">
        <v>0</v>
      </c>
      <c r="AF29" s="30">
        <v>1</v>
      </c>
      <c r="AG29" s="29">
        <v>0</v>
      </c>
      <c r="AH29" s="30">
        <v>1</v>
      </c>
      <c r="AI29" s="29">
        <v>0</v>
      </c>
      <c r="AJ29" s="30">
        <v>1</v>
      </c>
      <c r="AK29" s="35">
        <v>1</v>
      </c>
      <c r="AL29" s="30">
        <v>1</v>
      </c>
      <c r="AM29" s="32">
        <v>0</v>
      </c>
      <c r="AN29" s="36">
        <v>0</v>
      </c>
      <c r="AO29" s="66">
        <v>0</v>
      </c>
      <c r="AP29" s="66">
        <v>0</v>
      </c>
      <c r="AQ29" s="66">
        <v>0</v>
      </c>
      <c r="AR29" s="66"/>
      <c r="AS29" s="66"/>
      <c r="AX29" s="34" t="str">
        <f t="shared" si="15"/>
        <v xml:space="preserve">1987, 1989, 1990, 1992, 1994, 1995, 1998, 2000, 2003, 2006, 2009, 2011, 2013, 2015, 2016, 2017, </v>
      </c>
      <c r="AY29" s="29"/>
      <c r="AZ29" s="29"/>
      <c r="BA29" s="29"/>
      <c r="BB29" s="29"/>
    </row>
    <row r="30" spans="1:54" x14ac:dyDescent="0.2">
      <c r="A30" s="24">
        <f t="shared" si="14"/>
        <v>27</v>
      </c>
      <c r="B30" s="25" t="s">
        <v>104</v>
      </c>
      <c r="C30" s="26" t="s">
        <v>105</v>
      </c>
      <c r="D30" s="25" t="s">
        <v>53</v>
      </c>
      <c r="E30" s="25">
        <v>0</v>
      </c>
      <c r="F30" s="25">
        <v>1.5</v>
      </c>
      <c r="G30" s="25">
        <v>1</v>
      </c>
      <c r="H30" s="25">
        <v>1.5</v>
      </c>
      <c r="I30" s="25">
        <v>1</v>
      </c>
      <c r="J30" s="25">
        <v>1</v>
      </c>
      <c r="K30" s="25">
        <v>1.5</v>
      </c>
      <c r="L30" s="25">
        <v>1.5</v>
      </c>
      <c r="M30" s="25">
        <v>2</v>
      </c>
      <c r="N30" s="25">
        <v>2</v>
      </c>
      <c r="O30" s="25">
        <v>2</v>
      </c>
      <c r="P30" s="25">
        <v>2</v>
      </c>
      <c r="Q30" s="25">
        <v>0</v>
      </c>
      <c r="R30" s="25">
        <v>0</v>
      </c>
      <c r="S30" s="25">
        <v>0</v>
      </c>
      <c r="T30" s="25">
        <v>1</v>
      </c>
      <c r="U30" s="25">
        <v>0</v>
      </c>
      <c r="V30" s="25">
        <v>0</v>
      </c>
      <c r="W30" s="35">
        <v>1</v>
      </c>
      <c r="X30" s="25">
        <v>0</v>
      </c>
      <c r="Y30" s="25">
        <v>0</v>
      </c>
      <c r="Z30" s="49">
        <v>1</v>
      </c>
      <c r="AA30" s="25">
        <v>0</v>
      </c>
      <c r="AB30" s="46">
        <v>1</v>
      </c>
      <c r="AC30" s="49">
        <v>1</v>
      </c>
      <c r="AD30" s="29">
        <v>0</v>
      </c>
      <c r="AE30" s="30">
        <v>1</v>
      </c>
      <c r="AF30" s="30">
        <v>1</v>
      </c>
      <c r="AG30" s="30">
        <v>1</v>
      </c>
      <c r="AH30" s="30">
        <v>1</v>
      </c>
      <c r="AI30" s="30">
        <v>1</v>
      </c>
      <c r="AJ30" s="30">
        <v>1</v>
      </c>
      <c r="AK30" s="29">
        <v>0</v>
      </c>
      <c r="AL30" s="29">
        <v>0</v>
      </c>
      <c r="AM30" s="32">
        <v>0</v>
      </c>
      <c r="AN30" s="36">
        <v>0</v>
      </c>
      <c r="AO30" s="66">
        <v>0</v>
      </c>
      <c r="AP30" s="66">
        <v>0</v>
      </c>
      <c r="AQ30" s="66">
        <v>0</v>
      </c>
      <c r="AR30" s="66"/>
      <c r="AS30" s="66"/>
      <c r="AX30" s="34" t="str">
        <f t="shared" si="15"/>
        <v xml:space="preserve">1985, 1986, 1987, 1988, 1989, 1990, 1991, 1992, 1993, 1994, 1995, 1999, 2002, 2005, 2007, 2008, 2010, 2011, 2012, 2013, 2014, 2015, </v>
      </c>
      <c r="AY30" s="29"/>
      <c r="AZ30" s="29"/>
      <c r="BA30" s="29"/>
      <c r="BB30" s="29"/>
    </row>
    <row r="31" spans="1:54" x14ac:dyDescent="0.2">
      <c r="A31" s="24">
        <f t="shared" si="14"/>
        <v>28</v>
      </c>
      <c r="B31" s="25" t="s">
        <v>106</v>
      </c>
      <c r="C31" s="40" t="s">
        <v>107</v>
      </c>
      <c r="D31" s="25" t="s">
        <v>53</v>
      </c>
      <c r="E31" s="25">
        <v>0</v>
      </c>
      <c r="F31" s="25">
        <v>0</v>
      </c>
      <c r="G31" s="25">
        <v>1</v>
      </c>
      <c r="H31" s="25">
        <v>1</v>
      </c>
      <c r="I31" s="25">
        <v>1</v>
      </c>
      <c r="J31" s="25">
        <v>2</v>
      </c>
      <c r="K31" s="25">
        <v>1</v>
      </c>
      <c r="L31" s="25">
        <v>1</v>
      </c>
      <c r="M31" s="25">
        <v>1</v>
      </c>
      <c r="N31" s="25">
        <v>1</v>
      </c>
      <c r="O31" s="25">
        <v>0</v>
      </c>
      <c r="P31" s="25">
        <v>2</v>
      </c>
      <c r="Q31" s="25">
        <v>0</v>
      </c>
      <c r="R31" s="25">
        <v>0</v>
      </c>
      <c r="S31" s="25">
        <v>0</v>
      </c>
      <c r="T31" s="25">
        <v>1</v>
      </c>
      <c r="U31" s="25">
        <v>1</v>
      </c>
      <c r="V31" s="39">
        <v>1</v>
      </c>
      <c r="W31" s="39">
        <v>1</v>
      </c>
      <c r="X31" s="39">
        <v>1</v>
      </c>
      <c r="Y31" s="39">
        <v>1</v>
      </c>
      <c r="Z31" s="39">
        <v>1</v>
      </c>
      <c r="AA31" s="35">
        <v>1</v>
      </c>
      <c r="AB31" s="35">
        <v>1</v>
      </c>
      <c r="AC31" s="39">
        <v>1</v>
      </c>
      <c r="AD31" s="39">
        <v>1</v>
      </c>
      <c r="AE31" s="30">
        <v>1</v>
      </c>
      <c r="AF31" s="30">
        <v>1</v>
      </c>
      <c r="AG31" s="30">
        <v>1</v>
      </c>
      <c r="AH31" s="30">
        <v>1</v>
      </c>
      <c r="AI31" s="30">
        <v>1</v>
      </c>
      <c r="AJ31" s="30">
        <v>1</v>
      </c>
      <c r="AK31" s="30">
        <v>1</v>
      </c>
      <c r="AL31" s="30">
        <v>1</v>
      </c>
      <c r="AM31" s="35">
        <v>1</v>
      </c>
      <c r="AN31" s="36">
        <v>0</v>
      </c>
      <c r="AO31" s="66">
        <v>0</v>
      </c>
      <c r="AP31" s="66">
        <v>0</v>
      </c>
      <c r="AQ31" s="66">
        <v>0</v>
      </c>
      <c r="AR31" s="66"/>
      <c r="AS31" s="66"/>
      <c r="AX31" s="34" t="str">
        <f t="shared" si="15"/>
        <v xml:space="preserve">1986, 1987, 1988, 1989, 1990, 1991, 1992, 1993, 1995, 1999, 2000, 2001, 2002, 2003, 2004, 2005, 2006, 2007, 2008, 2009, 2010, 2011, 2012, 2013, 2014, 2015, 2016, 2017, 2018, </v>
      </c>
      <c r="AY31" s="29"/>
      <c r="AZ31" s="29"/>
      <c r="BA31" s="29"/>
      <c r="BB31" s="29"/>
    </row>
    <row r="32" spans="1:54" x14ac:dyDescent="0.2">
      <c r="A32" s="24">
        <f t="shared" si="14"/>
        <v>29</v>
      </c>
      <c r="B32" s="25" t="s">
        <v>108</v>
      </c>
      <c r="C32" s="26" t="s">
        <v>109</v>
      </c>
      <c r="D32" s="25" t="s">
        <v>53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1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46">
        <v>1</v>
      </c>
      <c r="Z32" s="25">
        <v>0</v>
      </c>
      <c r="AA32" s="25">
        <v>0</v>
      </c>
      <c r="AB32" s="25">
        <v>0</v>
      </c>
      <c r="AC32" s="27">
        <v>0</v>
      </c>
      <c r="AD32" s="28">
        <v>0</v>
      </c>
      <c r="AE32" s="29">
        <v>0</v>
      </c>
      <c r="AF32" s="29">
        <v>0</v>
      </c>
      <c r="AG32" s="29">
        <v>0</v>
      </c>
      <c r="AH32" s="30">
        <v>1</v>
      </c>
      <c r="AI32" s="35">
        <v>1</v>
      </c>
      <c r="AJ32" s="29">
        <v>0</v>
      </c>
      <c r="AK32" s="29">
        <v>0</v>
      </c>
      <c r="AL32" s="29">
        <v>0</v>
      </c>
      <c r="AM32" s="32">
        <v>0</v>
      </c>
      <c r="AN32" s="33">
        <v>1</v>
      </c>
      <c r="AO32" s="66">
        <v>0</v>
      </c>
      <c r="AP32" s="66">
        <v>0</v>
      </c>
      <c r="AQ32" s="66">
        <v>0</v>
      </c>
      <c r="AR32" s="66"/>
      <c r="AS32" s="66"/>
      <c r="AX32" s="34" t="str">
        <f t="shared" si="15"/>
        <v xml:space="preserve">1995, 2004, 2013, 2014, 2019, </v>
      </c>
      <c r="AY32" s="29"/>
      <c r="AZ32" s="29"/>
      <c r="BA32" s="29"/>
      <c r="BB32" s="29"/>
    </row>
    <row r="33" spans="1:54" x14ac:dyDescent="0.2">
      <c r="A33" s="24">
        <f t="shared" si="14"/>
        <v>30</v>
      </c>
      <c r="B33" s="25" t="s">
        <v>110</v>
      </c>
      <c r="C33" s="26" t="s">
        <v>111</v>
      </c>
      <c r="D33" s="25" t="s">
        <v>53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46">
        <v>1</v>
      </c>
      <c r="Z33" s="25">
        <v>0</v>
      </c>
      <c r="AA33" s="25">
        <v>0</v>
      </c>
      <c r="AB33" s="25">
        <v>0</v>
      </c>
      <c r="AC33" s="27">
        <v>0</v>
      </c>
      <c r="AD33" s="28">
        <v>0</v>
      </c>
      <c r="AE33" s="29">
        <v>0</v>
      </c>
      <c r="AF33" s="29">
        <v>0</v>
      </c>
      <c r="AG33" s="30">
        <v>1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32">
        <v>0</v>
      </c>
      <c r="AN33" s="36">
        <v>0</v>
      </c>
      <c r="AO33" s="66">
        <v>0</v>
      </c>
      <c r="AP33" s="66">
        <v>0</v>
      </c>
      <c r="AQ33" s="66">
        <v>0</v>
      </c>
      <c r="AR33" s="66"/>
      <c r="AS33" s="66"/>
      <c r="AX33" s="34" t="str">
        <f t="shared" si="15"/>
        <v xml:space="preserve">2004, 2012, </v>
      </c>
      <c r="AY33" s="29"/>
      <c r="AZ33" s="29"/>
      <c r="BA33" s="29"/>
      <c r="BB33" s="29"/>
    </row>
    <row r="34" spans="1:54" x14ac:dyDescent="0.2">
      <c r="A34" s="24">
        <f t="shared" si="14"/>
        <v>31</v>
      </c>
      <c r="B34" s="25" t="s">
        <v>112</v>
      </c>
      <c r="C34" s="40" t="s">
        <v>113</v>
      </c>
      <c r="D34" s="25" t="s">
        <v>53</v>
      </c>
      <c r="E34" s="25">
        <v>0</v>
      </c>
      <c r="F34" s="25">
        <v>1</v>
      </c>
      <c r="G34" s="25">
        <v>0</v>
      </c>
      <c r="H34" s="25">
        <v>0</v>
      </c>
      <c r="I34" s="25">
        <v>0</v>
      </c>
      <c r="J34" s="25">
        <v>0.5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46">
        <v>1</v>
      </c>
      <c r="AA34" s="25">
        <v>0</v>
      </c>
      <c r="AB34" s="25">
        <v>0</v>
      </c>
      <c r="AC34" s="27">
        <v>0</v>
      </c>
      <c r="AD34" s="28">
        <v>0</v>
      </c>
      <c r="AE34" s="29">
        <v>0</v>
      </c>
      <c r="AF34" s="30">
        <v>1</v>
      </c>
      <c r="AG34" s="29">
        <v>0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32">
        <v>0</v>
      </c>
      <c r="AN34" s="36">
        <v>0</v>
      </c>
      <c r="AO34" s="66">
        <v>0</v>
      </c>
      <c r="AP34" s="66">
        <v>0</v>
      </c>
      <c r="AQ34" s="66">
        <v>0</v>
      </c>
      <c r="AR34" s="66"/>
      <c r="AS34" s="66"/>
      <c r="AX34" s="34" t="str">
        <f t="shared" si="15"/>
        <v xml:space="preserve">1985, 2005, 2011, </v>
      </c>
      <c r="AY34" s="29"/>
      <c r="AZ34" s="29"/>
      <c r="BA34" s="29"/>
      <c r="BB34" s="29"/>
    </row>
    <row r="35" spans="1:54" x14ac:dyDescent="0.2">
      <c r="A35" s="24">
        <f t="shared" si="14"/>
        <v>32</v>
      </c>
      <c r="B35" s="25" t="s">
        <v>114</v>
      </c>
      <c r="C35" s="26" t="s">
        <v>115</v>
      </c>
      <c r="D35" s="25" t="s">
        <v>53</v>
      </c>
      <c r="E35" s="25">
        <v>0</v>
      </c>
      <c r="F35" s="25">
        <v>0</v>
      </c>
      <c r="G35" s="25">
        <v>2</v>
      </c>
      <c r="H35" s="25">
        <v>1</v>
      </c>
      <c r="I35" s="25">
        <v>1</v>
      </c>
      <c r="J35" s="25">
        <v>1</v>
      </c>
      <c r="K35" s="25">
        <v>2</v>
      </c>
      <c r="L35" s="25">
        <v>1</v>
      </c>
      <c r="M35" s="25">
        <v>2</v>
      </c>
      <c r="N35" s="25">
        <v>2</v>
      </c>
      <c r="O35" s="25">
        <v>1</v>
      </c>
      <c r="P35" s="25">
        <v>1</v>
      </c>
      <c r="Q35" s="25">
        <v>0</v>
      </c>
      <c r="R35" s="25">
        <v>0</v>
      </c>
      <c r="S35" s="25">
        <v>1</v>
      </c>
      <c r="T35" s="25">
        <v>1</v>
      </c>
      <c r="U35" s="35">
        <v>1</v>
      </c>
      <c r="V35" s="35">
        <v>1</v>
      </c>
      <c r="W35" s="35">
        <v>1</v>
      </c>
      <c r="X35" s="35">
        <v>1</v>
      </c>
      <c r="Y35" s="35">
        <v>1</v>
      </c>
      <c r="Z35" s="35">
        <v>1</v>
      </c>
      <c r="AA35" s="35">
        <v>1</v>
      </c>
      <c r="AB35" s="35">
        <v>1</v>
      </c>
      <c r="AC35" s="35">
        <v>1</v>
      </c>
      <c r="AD35" s="39">
        <v>1</v>
      </c>
      <c r="AE35" s="30">
        <v>1</v>
      </c>
      <c r="AF35" s="30">
        <v>1</v>
      </c>
      <c r="AG35" s="30">
        <v>1</v>
      </c>
      <c r="AH35" s="30">
        <v>1</v>
      </c>
      <c r="AI35" s="30">
        <v>1</v>
      </c>
      <c r="AJ35" s="30">
        <v>1</v>
      </c>
      <c r="AK35" s="30">
        <v>1</v>
      </c>
      <c r="AL35" s="30">
        <v>1</v>
      </c>
      <c r="AM35" s="35">
        <v>1</v>
      </c>
      <c r="AN35" s="36">
        <v>0</v>
      </c>
      <c r="AO35" s="66">
        <v>0</v>
      </c>
      <c r="AP35" s="66">
        <v>0</v>
      </c>
      <c r="AQ35" s="66">
        <v>0</v>
      </c>
      <c r="AR35" s="66"/>
      <c r="AS35" s="66"/>
      <c r="AX35" s="34" t="str">
        <f t="shared" si="15"/>
        <v xml:space="preserve">1986, 1987, 1988, 1989, 1990, 1991, 1992, 1993, 1994, 1995, 1998, 1999, 2000, 2001, 2002, 2003, 2004, 2005, 2006, 2007, 2008, 2009, 2010, 2011, 2012, 2013, 2014, 2015, 2016, 2017, 2018, </v>
      </c>
      <c r="AY35" s="29"/>
      <c r="AZ35" s="29"/>
      <c r="BA35" s="29"/>
      <c r="BB35" s="29"/>
    </row>
    <row r="36" spans="1:54" x14ac:dyDescent="0.2">
      <c r="A36" s="24">
        <f t="shared" si="14"/>
        <v>33</v>
      </c>
      <c r="B36" s="25" t="s">
        <v>116</v>
      </c>
      <c r="C36" s="26" t="s">
        <v>117</v>
      </c>
      <c r="D36" s="25" t="s">
        <v>53</v>
      </c>
      <c r="E36" s="25">
        <v>0</v>
      </c>
      <c r="F36" s="25">
        <v>2</v>
      </c>
      <c r="G36" s="25">
        <v>2</v>
      </c>
      <c r="H36" s="25">
        <v>2</v>
      </c>
      <c r="I36" s="25">
        <v>2</v>
      </c>
      <c r="J36" s="25">
        <v>0</v>
      </c>
      <c r="K36" s="25">
        <v>0</v>
      </c>
      <c r="L36" s="25">
        <v>0</v>
      </c>
      <c r="M36" s="25">
        <v>1</v>
      </c>
      <c r="N36" s="25">
        <v>1</v>
      </c>
      <c r="O36" s="25">
        <v>0</v>
      </c>
      <c r="P36" s="25">
        <v>1</v>
      </c>
      <c r="Q36" s="25">
        <v>0</v>
      </c>
      <c r="R36" s="25">
        <v>0</v>
      </c>
      <c r="S36" s="25">
        <v>1</v>
      </c>
      <c r="T36" s="25">
        <v>0</v>
      </c>
      <c r="U36" s="25">
        <v>0</v>
      </c>
      <c r="V36" s="25">
        <v>0</v>
      </c>
      <c r="W36" s="35">
        <v>1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48">
        <v>1</v>
      </c>
      <c r="AD36" s="28">
        <v>0</v>
      </c>
      <c r="AE36" s="29">
        <v>0</v>
      </c>
      <c r="AF36" s="29">
        <v>0</v>
      </c>
      <c r="AG36" s="29">
        <v>0</v>
      </c>
      <c r="AH36" s="29">
        <v>0</v>
      </c>
      <c r="AI36" s="29">
        <v>0</v>
      </c>
      <c r="AJ36" s="30">
        <v>1</v>
      </c>
      <c r="AK36" s="29">
        <v>0</v>
      </c>
      <c r="AL36" s="29">
        <v>0</v>
      </c>
      <c r="AM36" s="37">
        <v>1</v>
      </c>
      <c r="AN36" s="36">
        <v>0</v>
      </c>
      <c r="AO36" s="66">
        <v>0</v>
      </c>
      <c r="AP36" s="66">
        <v>0</v>
      </c>
      <c r="AQ36" s="66">
        <v>0</v>
      </c>
      <c r="AR36" s="66"/>
      <c r="AS36" s="66"/>
      <c r="AX36" s="34" t="str">
        <f t="shared" si="15"/>
        <v xml:space="preserve">1985, 1986, 1987, 1988, 1992, 1993, 1995, 1998, 2002, 2008, 2015, 2018, </v>
      </c>
      <c r="AY36" s="29"/>
      <c r="AZ36" s="29"/>
      <c r="BA36" s="29"/>
      <c r="BB36" s="29"/>
    </row>
    <row r="37" spans="1:54" x14ac:dyDescent="0.2">
      <c r="A37" s="24">
        <f t="shared" si="14"/>
        <v>34</v>
      </c>
      <c r="B37" s="25" t="s">
        <v>118</v>
      </c>
      <c r="C37" s="40" t="s">
        <v>119</v>
      </c>
      <c r="D37" s="25" t="s">
        <v>53</v>
      </c>
      <c r="E37" s="25">
        <v>0</v>
      </c>
      <c r="F37" s="25">
        <v>0</v>
      </c>
      <c r="G37" s="25">
        <v>0</v>
      </c>
      <c r="H37" s="25">
        <v>0</v>
      </c>
      <c r="I37" s="25">
        <v>1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1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48">
        <v>1</v>
      </c>
      <c r="Z37" s="25">
        <v>0</v>
      </c>
      <c r="AA37" s="25">
        <v>0</v>
      </c>
      <c r="AB37" s="25">
        <v>0</v>
      </c>
      <c r="AC37" s="48">
        <v>1</v>
      </c>
      <c r="AD37" s="39">
        <v>1</v>
      </c>
      <c r="AE37" s="30">
        <v>1</v>
      </c>
      <c r="AF37" s="30">
        <v>1</v>
      </c>
      <c r="AG37" s="30">
        <v>1</v>
      </c>
      <c r="AH37" s="30">
        <v>1</v>
      </c>
      <c r="AI37" s="30">
        <v>1</v>
      </c>
      <c r="AJ37" s="30">
        <v>1</v>
      </c>
      <c r="AK37" s="30">
        <v>1</v>
      </c>
      <c r="AL37" s="30">
        <v>1</v>
      </c>
      <c r="AM37" s="32">
        <v>1</v>
      </c>
      <c r="AN37" s="36">
        <v>1</v>
      </c>
      <c r="AO37" s="66">
        <v>1</v>
      </c>
      <c r="AP37" s="66">
        <v>1</v>
      </c>
      <c r="AQ37" s="66">
        <v>1</v>
      </c>
      <c r="AR37" s="66"/>
      <c r="AS37" s="66"/>
      <c r="AX37" s="34" t="str">
        <f t="shared" si="15"/>
        <v xml:space="preserve">1988, 1998, 2004, 2008, 2009, 2010, 2011, 2012, 2013, 2014, 2015, 2016, 2017, 2018, 2019, 2020, 2021, 2022, </v>
      </c>
      <c r="AY37" s="29"/>
      <c r="AZ37" s="29"/>
      <c r="BA37" s="29"/>
      <c r="BB37" s="29"/>
    </row>
    <row r="38" spans="1:54" x14ac:dyDescent="0.2">
      <c r="A38" s="24">
        <f t="shared" si="14"/>
        <v>35</v>
      </c>
      <c r="B38" s="25" t="s">
        <v>120</v>
      </c>
      <c r="C38" s="26" t="s">
        <v>121</v>
      </c>
      <c r="D38" s="25" t="s">
        <v>53</v>
      </c>
      <c r="E38" s="25">
        <v>0</v>
      </c>
      <c r="F38" s="25">
        <v>0</v>
      </c>
      <c r="G38" s="25">
        <v>1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35">
        <v>1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7">
        <v>0</v>
      </c>
      <c r="AD38" s="28">
        <v>0</v>
      </c>
      <c r="AE38" s="29">
        <v>0</v>
      </c>
      <c r="AF38" s="29">
        <v>0</v>
      </c>
      <c r="AG38" s="30">
        <v>1</v>
      </c>
      <c r="AH38" s="30">
        <v>1</v>
      </c>
      <c r="AI38" s="29">
        <v>0</v>
      </c>
      <c r="AJ38" s="29">
        <v>0</v>
      </c>
      <c r="AK38" s="29">
        <v>0</v>
      </c>
      <c r="AL38" s="35">
        <v>1</v>
      </c>
      <c r="AM38" s="32">
        <v>0</v>
      </c>
      <c r="AN38" s="36">
        <v>0</v>
      </c>
      <c r="AO38" s="66">
        <v>0</v>
      </c>
      <c r="AP38" s="66">
        <v>0</v>
      </c>
      <c r="AQ38" s="66">
        <v>0</v>
      </c>
      <c r="AR38" s="66"/>
      <c r="AS38" s="66"/>
      <c r="AX38" s="34" t="str">
        <f t="shared" si="15"/>
        <v xml:space="preserve">1986, 2002, 2012, 2013, 2017, </v>
      </c>
      <c r="AY38" s="29"/>
      <c r="AZ38" s="29"/>
      <c r="BA38" s="29"/>
      <c r="BB38" s="29"/>
    </row>
    <row r="39" spans="1:54" x14ac:dyDescent="0.2">
      <c r="A39" s="24">
        <f t="shared" si="14"/>
        <v>36</v>
      </c>
      <c r="B39" s="25" t="s">
        <v>122</v>
      </c>
      <c r="C39" s="34" t="s">
        <v>123</v>
      </c>
      <c r="D39" s="25" t="s">
        <v>53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35">
        <v>1</v>
      </c>
      <c r="X39" s="25">
        <v>0</v>
      </c>
      <c r="Y39" s="25">
        <v>0</v>
      </c>
      <c r="Z39" s="25">
        <v>0</v>
      </c>
      <c r="AA39" s="25">
        <v>0</v>
      </c>
      <c r="AB39" s="48">
        <v>1</v>
      </c>
      <c r="AC39" s="83">
        <v>1</v>
      </c>
      <c r="AD39" s="28">
        <v>0</v>
      </c>
      <c r="AE39" s="29">
        <v>0</v>
      </c>
      <c r="AF39" s="29">
        <v>0</v>
      </c>
      <c r="AG39" s="29">
        <v>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32">
        <v>0</v>
      </c>
      <c r="AN39" s="36">
        <v>0</v>
      </c>
      <c r="AO39" s="66">
        <v>0</v>
      </c>
      <c r="AP39" s="66">
        <v>0</v>
      </c>
      <c r="AQ39" s="66">
        <v>0</v>
      </c>
      <c r="AR39" s="66"/>
      <c r="AS39" s="66"/>
      <c r="AX39" s="34" t="str">
        <f t="shared" si="15"/>
        <v xml:space="preserve">2002, 2007, 2008, </v>
      </c>
      <c r="AY39" s="29"/>
      <c r="AZ39" s="29"/>
      <c r="BA39" s="29"/>
      <c r="BB39" s="29"/>
    </row>
    <row r="40" spans="1:54" x14ac:dyDescent="0.2">
      <c r="A40" s="24">
        <f t="shared" si="14"/>
        <v>37</v>
      </c>
      <c r="B40" s="25" t="s">
        <v>124</v>
      </c>
      <c r="C40" s="26" t="s">
        <v>125</v>
      </c>
      <c r="D40" s="25" t="s">
        <v>53</v>
      </c>
      <c r="E40" s="25">
        <v>0</v>
      </c>
      <c r="F40" s="25">
        <v>0</v>
      </c>
      <c r="G40" s="25">
        <v>2</v>
      </c>
      <c r="H40" s="25">
        <v>0</v>
      </c>
      <c r="I40" s="25">
        <v>0</v>
      </c>
      <c r="J40" s="25">
        <v>2</v>
      </c>
      <c r="K40" s="25">
        <v>0</v>
      </c>
      <c r="L40" s="25">
        <v>0</v>
      </c>
      <c r="M40" s="25">
        <v>2</v>
      </c>
      <c r="N40" s="25">
        <v>0</v>
      </c>
      <c r="O40" s="25">
        <v>0</v>
      </c>
      <c r="P40" s="25">
        <v>1</v>
      </c>
      <c r="Q40" s="25">
        <v>0</v>
      </c>
      <c r="R40" s="25">
        <v>0</v>
      </c>
      <c r="S40" s="25">
        <v>0</v>
      </c>
      <c r="T40" s="25">
        <v>0</v>
      </c>
      <c r="U40" s="46">
        <v>1</v>
      </c>
      <c r="V40" s="46">
        <v>1</v>
      </c>
      <c r="W40" s="46">
        <v>1</v>
      </c>
      <c r="X40" s="46">
        <v>1</v>
      </c>
      <c r="Y40" s="46">
        <v>1</v>
      </c>
      <c r="Z40" s="46">
        <v>1</v>
      </c>
      <c r="AA40" s="46">
        <v>1</v>
      </c>
      <c r="AB40" s="46">
        <v>1</v>
      </c>
      <c r="AC40" s="46">
        <v>1</v>
      </c>
      <c r="AD40" s="39">
        <v>1</v>
      </c>
      <c r="AE40" s="30">
        <v>1</v>
      </c>
      <c r="AF40" s="30">
        <v>1</v>
      </c>
      <c r="AG40" s="30">
        <v>1</v>
      </c>
      <c r="AH40" s="30">
        <v>1</v>
      </c>
      <c r="AI40" s="30">
        <v>1</v>
      </c>
      <c r="AJ40" s="30">
        <v>1</v>
      </c>
      <c r="AK40" s="30">
        <v>1</v>
      </c>
      <c r="AL40" s="30">
        <v>1</v>
      </c>
      <c r="AM40" s="35">
        <v>1</v>
      </c>
      <c r="AN40" s="36">
        <v>0</v>
      </c>
      <c r="AO40" s="66">
        <v>0</v>
      </c>
      <c r="AP40" s="66">
        <v>0</v>
      </c>
      <c r="AQ40" s="66">
        <v>0</v>
      </c>
      <c r="AR40" s="66"/>
      <c r="AS40" s="66"/>
      <c r="AX40" s="34" t="str">
        <f t="shared" si="15"/>
        <v xml:space="preserve">1986, 1989, 1992, 1995, 2000, 2001, 2002, 2003, 2004, 2005, 2006, 2007, 2008, 2009, 2010, 2011, 2012, 2013, 2014, 2015, 2016, 2017, 2018, </v>
      </c>
      <c r="AY40" s="29"/>
      <c r="AZ40" s="29"/>
      <c r="BA40" s="29"/>
      <c r="BB40" s="29"/>
    </row>
    <row r="41" spans="1:54" x14ac:dyDescent="0.2">
      <c r="A41" s="24">
        <f t="shared" si="14"/>
        <v>38</v>
      </c>
      <c r="B41" s="25" t="s">
        <v>126</v>
      </c>
      <c r="C41" s="26" t="s">
        <v>127</v>
      </c>
      <c r="D41" s="25" t="s">
        <v>53</v>
      </c>
      <c r="E41" s="25">
        <v>0</v>
      </c>
      <c r="F41" s="25">
        <v>0</v>
      </c>
      <c r="G41" s="25">
        <v>0</v>
      </c>
      <c r="H41" s="25">
        <v>1.5</v>
      </c>
      <c r="I41" s="25">
        <v>0.5</v>
      </c>
      <c r="J41" s="25">
        <v>0.5</v>
      </c>
      <c r="K41" s="25">
        <v>0.5</v>
      </c>
      <c r="L41" s="25">
        <v>0.5</v>
      </c>
      <c r="M41" s="25">
        <v>0.5</v>
      </c>
      <c r="N41" s="25">
        <v>0.5</v>
      </c>
      <c r="O41" s="25">
        <v>2</v>
      </c>
      <c r="P41" s="25">
        <v>1</v>
      </c>
      <c r="Q41" s="31">
        <v>0</v>
      </c>
      <c r="R41" s="31">
        <v>0</v>
      </c>
      <c r="S41" s="25">
        <v>1</v>
      </c>
      <c r="T41" s="25">
        <v>1</v>
      </c>
      <c r="U41" s="46">
        <v>1</v>
      </c>
      <c r="V41" s="25">
        <v>0</v>
      </c>
      <c r="W41" s="25">
        <v>0</v>
      </c>
      <c r="X41" s="46">
        <v>1</v>
      </c>
      <c r="Y41" s="46">
        <v>1</v>
      </c>
      <c r="Z41" s="46">
        <v>1</v>
      </c>
      <c r="AA41" s="46">
        <v>1</v>
      </c>
      <c r="AB41" s="46">
        <v>1</v>
      </c>
      <c r="AC41" s="46">
        <v>1</v>
      </c>
      <c r="AD41" s="39">
        <v>1</v>
      </c>
      <c r="AE41" s="30">
        <v>1</v>
      </c>
      <c r="AF41" s="30">
        <v>1</v>
      </c>
      <c r="AG41" s="30">
        <v>1</v>
      </c>
      <c r="AH41" s="30">
        <v>1</v>
      </c>
      <c r="AI41" s="30">
        <v>1</v>
      </c>
      <c r="AJ41" s="30">
        <v>1</v>
      </c>
      <c r="AK41" s="30">
        <v>1</v>
      </c>
      <c r="AL41" s="46">
        <v>1</v>
      </c>
      <c r="AM41" s="32">
        <v>0</v>
      </c>
      <c r="AN41" s="36">
        <v>0</v>
      </c>
      <c r="AO41" s="66">
        <v>0</v>
      </c>
      <c r="AP41" s="66">
        <v>0</v>
      </c>
      <c r="AQ41" s="66">
        <v>0</v>
      </c>
      <c r="AR41" s="66"/>
      <c r="AS41" s="66"/>
      <c r="AX41" s="34" t="str">
        <f t="shared" si="15"/>
        <v xml:space="preserve">1987, 1994, 1995, 1998, 1999, 2000, 2003, 2004, 2005, 2006, 2007, 2008, 2009, 2010, 2011, 2012, 2013, 2014, 2015, 2016, 2017, </v>
      </c>
      <c r="AY41" s="29"/>
      <c r="AZ41" s="29"/>
      <c r="BA41" s="29"/>
      <c r="BB41" s="29"/>
    </row>
    <row r="42" spans="1:54" x14ac:dyDescent="0.2">
      <c r="A42" s="24">
        <f t="shared" si="14"/>
        <v>39</v>
      </c>
      <c r="B42" s="25" t="s">
        <v>128</v>
      </c>
      <c r="C42" s="40" t="s">
        <v>129</v>
      </c>
      <c r="D42" s="25" t="s">
        <v>53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1</v>
      </c>
      <c r="L42" s="25">
        <v>1</v>
      </c>
      <c r="M42" s="25">
        <v>0</v>
      </c>
      <c r="N42" s="25">
        <v>0</v>
      </c>
      <c r="O42" s="25">
        <v>0</v>
      </c>
      <c r="P42" s="25">
        <v>1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48">
        <v>1</v>
      </c>
      <c r="Z42" s="25">
        <v>0</v>
      </c>
      <c r="AA42" s="25">
        <v>0</v>
      </c>
      <c r="AB42" s="25">
        <v>0</v>
      </c>
      <c r="AC42" s="48">
        <v>1</v>
      </c>
      <c r="AD42" s="29">
        <v>0</v>
      </c>
      <c r="AE42" s="30">
        <v>1</v>
      </c>
      <c r="AF42" s="29">
        <v>0</v>
      </c>
      <c r="AG42" s="30">
        <v>1</v>
      </c>
      <c r="AH42" s="29">
        <v>0</v>
      </c>
      <c r="AI42" s="29">
        <v>0</v>
      </c>
      <c r="AJ42" s="30">
        <v>1</v>
      </c>
      <c r="AK42" s="29">
        <v>0</v>
      </c>
      <c r="AL42" s="29">
        <v>0</v>
      </c>
      <c r="AM42" s="32">
        <v>0</v>
      </c>
      <c r="AN42" s="33">
        <v>1</v>
      </c>
      <c r="AO42" s="66">
        <v>0</v>
      </c>
      <c r="AP42" s="66">
        <v>0</v>
      </c>
      <c r="AQ42" s="66">
        <v>0</v>
      </c>
      <c r="AR42" s="66"/>
      <c r="AS42" s="66"/>
      <c r="AX42" s="34" t="str">
        <f t="shared" si="15"/>
        <v xml:space="preserve">1990, 1991, 1995, 2004, 2008, 2010, 2012, 2015, 2019, </v>
      </c>
      <c r="AY42" s="29"/>
      <c r="AZ42" s="29"/>
      <c r="BA42" s="29"/>
      <c r="BB42" s="29"/>
    </row>
    <row r="43" spans="1:54" x14ac:dyDescent="0.2">
      <c r="A43" s="24">
        <f t="shared" si="14"/>
        <v>40</v>
      </c>
      <c r="B43" s="25" t="s">
        <v>130</v>
      </c>
      <c r="C43" s="26" t="s">
        <v>131</v>
      </c>
      <c r="D43" s="25" t="s">
        <v>53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2</v>
      </c>
      <c r="K43" s="25">
        <v>1</v>
      </c>
      <c r="L43" s="25">
        <v>1</v>
      </c>
      <c r="M43" s="25">
        <v>1</v>
      </c>
      <c r="N43" s="25">
        <v>0</v>
      </c>
      <c r="O43" s="25">
        <v>1</v>
      </c>
      <c r="P43" s="25">
        <v>2</v>
      </c>
      <c r="Q43" s="25">
        <v>0</v>
      </c>
      <c r="R43" s="25">
        <v>0</v>
      </c>
      <c r="S43" s="35">
        <v>1</v>
      </c>
      <c r="T43" s="35">
        <v>1</v>
      </c>
      <c r="U43" s="35">
        <v>1</v>
      </c>
      <c r="V43" s="35">
        <v>1</v>
      </c>
      <c r="W43" s="35">
        <v>1</v>
      </c>
      <c r="X43" s="35">
        <v>1</v>
      </c>
      <c r="Y43" s="35">
        <v>1</v>
      </c>
      <c r="Z43" s="35">
        <v>1</v>
      </c>
      <c r="AA43" s="35">
        <v>1</v>
      </c>
      <c r="AB43" s="35">
        <v>1</v>
      </c>
      <c r="AC43" s="47">
        <v>1</v>
      </c>
      <c r="AD43" s="39">
        <v>1</v>
      </c>
      <c r="AE43" s="30">
        <v>1</v>
      </c>
      <c r="AF43" s="30">
        <v>1</v>
      </c>
      <c r="AG43" s="30">
        <v>1</v>
      </c>
      <c r="AH43" s="30">
        <v>1</v>
      </c>
      <c r="AI43" s="30">
        <v>1</v>
      </c>
      <c r="AJ43" s="30">
        <v>1</v>
      </c>
      <c r="AK43" s="50">
        <v>1</v>
      </c>
      <c r="AL43" s="50">
        <v>1</v>
      </c>
      <c r="AM43" s="35">
        <v>1</v>
      </c>
      <c r="AN43" s="36">
        <v>0</v>
      </c>
      <c r="AO43" s="66">
        <v>0</v>
      </c>
      <c r="AP43" s="66">
        <v>0</v>
      </c>
      <c r="AQ43" s="66">
        <v>0</v>
      </c>
      <c r="AR43" s="66"/>
      <c r="AS43" s="66"/>
      <c r="AX43" s="34" t="str">
        <f t="shared" si="15"/>
        <v xml:space="preserve">1989, 1990, 1991, 1992, 1994, 1995, 1998, 1999, 2000, 2001, 2002, 2003, 2004, 2005, 2006, 2007, 2008, 2009, 2010, 2011, 2012, 2013, 2014, 2015, 2016, 2017, 2018, </v>
      </c>
      <c r="AY43" s="29"/>
      <c r="AZ43" s="29"/>
      <c r="BA43" s="29"/>
      <c r="BB43" s="29"/>
    </row>
    <row r="44" spans="1:54" x14ac:dyDescent="0.2">
      <c r="A44" s="24">
        <f t="shared" si="14"/>
        <v>41</v>
      </c>
      <c r="B44" s="25" t="s">
        <v>132</v>
      </c>
      <c r="C44" s="26" t="s">
        <v>133</v>
      </c>
      <c r="D44" s="25" t="s">
        <v>53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35">
        <v>1</v>
      </c>
      <c r="AB44" s="25">
        <v>0</v>
      </c>
      <c r="AC44" s="27">
        <v>0</v>
      </c>
      <c r="AD44" s="28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32">
        <v>0</v>
      </c>
      <c r="AN44" s="33">
        <v>1</v>
      </c>
      <c r="AO44" s="66">
        <v>0</v>
      </c>
      <c r="AP44" s="66">
        <v>0</v>
      </c>
      <c r="AQ44" s="66">
        <v>0</v>
      </c>
      <c r="AR44" s="66"/>
      <c r="AS44" s="66"/>
      <c r="AX44" s="34" t="str">
        <f t="shared" si="15"/>
        <v xml:space="preserve">2006, 2019, </v>
      </c>
      <c r="AY44" s="29"/>
      <c r="AZ44" s="29"/>
      <c r="BA44" s="29"/>
      <c r="BB44" s="29"/>
    </row>
    <row r="45" spans="1:54" x14ac:dyDescent="0.2">
      <c r="A45" s="24">
        <f t="shared" si="14"/>
        <v>42</v>
      </c>
      <c r="B45" s="25" t="s">
        <v>134</v>
      </c>
      <c r="C45" s="26" t="s">
        <v>135</v>
      </c>
      <c r="D45" s="25" t="s">
        <v>53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1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7">
        <v>0</v>
      </c>
      <c r="AD45" s="28">
        <v>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32">
        <v>0</v>
      </c>
      <c r="AN45" s="36">
        <v>0</v>
      </c>
      <c r="AO45" s="66">
        <v>0</v>
      </c>
      <c r="AP45" s="66">
        <v>0</v>
      </c>
      <c r="AQ45" s="66">
        <v>0</v>
      </c>
      <c r="AR45" s="66"/>
      <c r="AS45" s="66"/>
      <c r="AX45" s="34" t="str">
        <f t="shared" si="15"/>
        <v xml:space="preserve">1993, </v>
      </c>
      <c r="AY45" s="29"/>
      <c r="AZ45" s="29"/>
      <c r="BA45" s="29"/>
      <c r="BB45" s="29"/>
    </row>
    <row r="46" spans="1:54" x14ac:dyDescent="0.2">
      <c r="A46" s="24">
        <f t="shared" si="14"/>
        <v>43</v>
      </c>
      <c r="B46" s="25" t="s">
        <v>136</v>
      </c>
      <c r="C46" s="26" t="s">
        <v>137</v>
      </c>
      <c r="D46" s="25" t="s">
        <v>53</v>
      </c>
      <c r="E46" s="25">
        <v>0</v>
      </c>
      <c r="F46" s="25">
        <v>1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2</v>
      </c>
      <c r="Q46" s="25">
        <v>0</v>
      </c>
      <c r="R46" s="25">
        <v>0</v>
      </c>
      <c r="S46" s="25">
        <v>0</v>
      </c>
      <c r="T46" s="25">
        <v>0</v>
      </c>
      <c r="U46" s="25">
        <v>1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7">
        <v>0</v>
      </c>
      <c r="AD46" s="39">
        <v>1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29">
        <v>0</v>
      </c>
      <c r="AK46" s="30">
        <v>1</v>
      </c>
      <c r="AL46" s="29">
        <v>0</v>
      </c>
      <c r="AM46" s="32">
        <v>0</v>
      </c>
      <c r="AN46" s="36">
        <v>0</v>
      </c>
      <c r="AO46" s="66">
        <v>0</v>
      </c>
      <c r="AP46" s="66">
        <v>0</v>
      </c>
      <c r="AQ46" s="66">
        <v>0</v>
      </c>
      <c r="AR46" s="66"/>
      <c r="AS46" s="66"/>
      <c r="AX46" s="34" t="str">
        <f t="shared" si="15"/>
        <v xml:space="preserve">1985, 1995, 2000, 2009, 2016, </v>
      </c>
      <c r="AY46" s="29"/>
      <c r="AZ46" s="29"/>
      <c r="BA46" s="29"/>
      <c r="BB46" s="29"/>
    </row>
    <row r="47" spans="1:54" x14ac:dyDescent="0.2">
      <c r="A47" s="24">
        <f t="shared" si="14"/>
        <v>44</v>
      </c>
      <c r="B47" s="25" t="s">
        <v>138</v>
      </c>
      <c r="C47" s="40" t="s">
        <v>139</v>
      </c>
      <c r="D47" s="25" t="s">
        <v>53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1</v>
      </c>
      <c r="N47" s="25">
        <v>0</v>
      </c>
      <c r="O47" s="25">
        <v>0</v>
      </c>
      <c r="P47" s="25">
        <v>2</v>
      </c>
      <c r="Q47" s="25">
        <v>0</v>
      </c>
      <c r="R47" s="25">
        <v>0</v>
      </c>
      <c r="S47" s="25">
        <v>0</v>
      </c>
      <c r="T47" s="46">
        <v>1</v>
      </c>
      <c r="U47" s="25">
        <v>0</v>
      </c>
      <c r="V47" s="25">
        <v>0</v>
      </c>
      <c r="W47" s="35">
        <v>1</v>
      </c>
      <c r="X47" s="25">
        <v>0</v>
      </c>
      <c r="Y47" s="46">
        <v>1</v>
      </c>
      <c r="Z47" s="25">
        <v>0</v>
      </c>
      <c r="AA47" s="25">
        <v>0</v>
      </c>
      <c r="AB47" s="25">
        <v>0</v>
      </c>
      <c r="AC47" s="83">
        <v>1</v>
      </c>
      <c r="AD47" s="28">
        <v>0</v>
      </c>
      <c r="AE47" s="30">
        <v>1</v>
      </c>
      <c r="AF47" s="35">
        <v>1</v>
      </c>
      <c r="AG47" s="29">
        <v>0</v>
      </c>
      <c r="AH47" s="35">
        <v>1</v>
      </c>
      <c r="AI47" s="38">
        <v>0</v>
      </c>
      <c r="AJ47" s="30">
        <v>1</v>
      </c>
      <c r="AK47" s="29">
        <v>0</v>
      </c>
      <c r="AL47" s="29">
        <v>0</v>
      </c>
      <c r="AM47" s="32">
        <v>0</v>
      </c>
      <c r="AN47" s="36">
        <v>0</v>
      </c>
      <c r="AO47" s="66">
        <v>0</v>
      </c>
      <c r="AP47" s="66">
        <v>0</v>
      </c>
      <c r="AQ47" s="66">
        <v>0</v>
      </c>
      <c r="AR47" s="66"/>
      <c r="AS47" s="66"/>
      <c r="AX47" s="34" t="str">
        <f t="shared" si="15"/>
        <v xml:space="preserve">1992, 1995, 1999, 2002, 2004, 2008, 2010, 2011, 2013, 2015, </v>
      </c>
      <c r="AY47" s="29"/>
      <c r="AZ47" s="29"/>
      <c r="BA47" s="29"/>
      <c r="BB47" s="29"/>
    </row>
    <row r="48" spans="1:54" x14ac:dyDescent="0.2">
      <c r="A48" s="24">
        <f t="shared" si="14"/>
        <v>45</v>
      </c>
      <c r="B48" s="25" t="s">
        <v>140</v>
      </c>
      <c r="C48" s="26" t="s">
        <v>141</v>
      </c>
      <c r="D48" s="25" t="s">
        <v>53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46">
        <v>1</v>
      </c>
      <c r="X48" s="25">
        <v>0</v>
      </c>
      <c r="Y48" s="25">
        <v>1</v>
      </c>
      <c r="Z48" s="25">
        <v>0</v>
      </c>
      <c r="AA48" s="25">
        <v>0</v>
      </c>
      <c r="AB48" s="25">
        <v>0</v>
      </c>
      <c r="AC48" s="46">
        <v>1</v>
      </c>
      <c r="AD48" s="25">
        <v>1</v>
      </c>
      <c r="AE48" s="29">
        <v>0</v>
      </c>
      <c r="AF48" s="29">
        <v>0</v>
      </c>
      <c r="AG48" s="29">
        <v>0</v>
      </c>
      <c r="AH48" s="30">
        <v>1</v>
      </c>
      <c r="AI48" s="29">
        <v>0</v>
      </c>
      <c r="AJ48" s="29">
        <v>0</v>
      </c>
      <c r="AK48" s="29">
        <v>0</v>
      </c>
      <c r="AL48" s="29">
        <v>0</v>
      </c>
      <c r="AM48" s="32">
        <v>0</v>
      </c>
      <c r="AN48" s="33">
        <v>1</v>
      </c>
      <c r="AO48" s="66">
        <v>0</v>
      </c>
      <c r="AP48" s="66">
        <v>0</v>
      </c>
      <c r="AQ48" s="66">
        <v>0</v>
      </c>
      <c r="AR48" s="66"/>
      <c r="AS48" s="66"/>
      <c r="AX48" s="34" t="str">
        <f t="shared" si="15"/>
        <v xml:space="preserve">2002, 2004, 2008, 2009, 2013, 2019, </v>
      </c>
      <c r="AY48" s="29"/>
      <c r="AZ48" s="29"/>
      <c r="BA48" s="29"/>
      <c r="BB48" s="29"/>
    </row>
    <row r="49" spans="1:54" x14ac:dyDescent="0.2">
      <c r="A49" s="24">
        <f t="shared" si="14"/>
        <v>46</v>
      </c>
      <c r="B49" s="25" t="s">
        <v>142</v>
      </c>
      <c r="C49" s="26" t="s">
        <v>143</v>
      </c>
      <c r="D49" s="25" t="s">
        <v>53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1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46">
        <v>1</v>
      </c>
      <c r="AA49" s="25">
        <v>0</v>
      </c>
      <c r="AB49" s="25">
        <v>0</v>
      </c>
      <c r="AC49" s="27">
        <v>0</v>
      </c>
      <c r="AD49" s="28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30">
        <v>1</v>
      </c>
      <c r="AM49" s="32">
        <v>0</v>
      </c>
      <c r="AN49" s="36">
        <v>0</v>
      </c>
      <c r="AO49" s="66">
        <v>0</v>
      </c>
      <c r="AP49" s="66">
        <v>0</v>
      </c>
      <c r="AQ49" s="66">
        <v>0</v>
      </c>
      <c r="AR49" s="66"/>
      <c r="AS49" s="66"/>
      <c r="AX49" s="34" t="str">
        <f t="shared" si="15"/>
        <v xml:space="preserve">1994, 2005, 2017, </v>
      </c>
      <c r="AY49" s="29"/>
      <c r="AZ49" s="29"/>
      <c r="BA49" s="29"/>
      <c r="BB49" s="29"/>
    </row>
    <row r="50" spans="1:54" x14ac:dyDescent="0.2">
      <c r="A50" s="24">
        <f t="shared" si="14"/>
        <v>47</v>
      </c>
      <c r="B50" s="25" t="s">
        <v>144</v>
      </c>
      <c r="C50" s="26" t="s">
        <v>145</v>
      </c>
      <c r="D50" s="25" t="s">
        <v>53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2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1</v>
      </c>
      <c r="T50" s="25">
        <v>0</v>
      </c>
      <c r="U50" s="25">
        <v>0</v>
      </c>
      <c r="V50" s="25">
        <v>0</v>
      </c>
      <c r="W50" s="25">
        <v>0</v>
      </c>
      <c r="X50" s="46">
        <v>1</v>
      </c>
      <c r="Y50" s="29">
        <v>0</v>
      </c>
      <c r="Z50" s="25">
        <v>0</v>
      </c>
      <c r="AA50" s="25">
        <v>0</v>
      </c>
      <c r="AB50" s="25">
        <v>0</v>
      </c>
      <c r="AC50" s="27">
        <v>0</v>
      </c>
      <c r="AD50" s="28">
        <v>0</v>
      </c>
      <c r="AE50" s="30">
        <v>1</v>
      </c>
      <c r="AF50" s="29">
        <v>0</v>
      </c>
      <c r="AG50" s="29">
        <v>0</v>
      </c>
      <c r="AH50" s="29">
        <v>0</v>
      </c>
      <c r="AI50" s="29">
        <v>0</v>
      </c>
      <c r="AJ50" s="30">
        <v>1</v>
      </c>
      <c r="AK50" s="29">
        <v>0</v>
      </c>
      <c r="AL50" s="29">
        <v>0</v>
      </c>
      <c r="AM50" s="32">
        <v>0</v>
      </c>
      <c r="AN50" s="33">
        <v>1</v>
      </c>
      <c r="AO50" s="66">
        <v>0</v>
      </c>
      <c r="AP50" s="66">
        <v>0</v>
      </c>
      <c r="AQ50" s="66">
        <v>0</v>
      </c>
      <c r="AR50" s="66"/>
      <c r="AS50" s="66"/>
      <c r="AX50" s="34" t="str">
        <f t="shared" si="15"/>
        <v xml:space="preserve">1992, 1998, 2003, 2010, 2015, 2019, </v>
      </c>
      <c r="AY50" s="29"/>
      <c r="AZ50" s="29"/>
      <c r="BA50" s="29"/>
      <c r="BB50" s="29"/>
    </row>
    <row r="51" spans="1:54" x14ac:dyDescent="0.2">
      <c r="A51" s="24">
        <f t="shared" si="14"/>
        <v>48</v>
      </c>
      <c r="B51" s="25" t="s">
        <v>146</v>
      </c>
      <c r="C51" s="26" t="s">
        <v>147</v>
      </c>
      <c r="D51" s="25" t="s">
        <v>53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1</v>
      </c>
      <c r="T51" s="25">
        <v>1</v>
      </c>
      <c r="U51" s="30">
        <v>1</v>
      </c>
      <c r="V51" s="30">
        <v>1</v>
      </c>
      <c r="W51" s="30">
        <v>1</v>
      </c>
      <c r="X51" s="30">
        <v>1</v>
      </c>
      <c r="Y51" s="30">
        <v>1</v>
      </c>
      <c r="Z51" s="30">
        <v>1</v>
      </c>
      <c r="AA51" s="30">
        <v>1</v>
      </c>
      <c r="AB51" s="30">
        <v>1</v>
      </c>
      <c r="AC51" s="30">
        <v>1</v>
      </c>
      <c r="AD51" s="39">
        <v>1</v>
      </c>
      <c r="AE51" s="30">
        <v>1</v>
      </c>
      <c r="AF51" s="30">
        <v>1</v>
      </c>
      <c r="AG51" s="30">
        <v>1</v>
      </c>
      <c r="AH51" s="30">
        <v>1</v>
      </c>
      <c r="AI51" s="30">
        <v>1</v>
      </c>
      <c r="AJ51" s="30">
        <v>1</v>
      </c>
      <c r="AK51" s="30">
        <v>1</v>
      </c>
      <c r="AL51" s="30">
        <v>1</v>
      </c>
      <c r="AM51" s="32">
        <v>0</v>
      </c>
      <c r="AN51" s="36">
        <v>0</v>
      </c>
      <c r="AO51" s="66">
        <v>0</v>
      </c>
      <c r="AP51" s="66">
        <v>0</v>
      </c>
      <c r="AQ51" s="66">
        <v>0</v>
      </c>
      <c r="AR51" s="66"/>
      <c r="AS51" s="66"/>
      <c r="AX51" s="34" t="str">
        <f t="shared" si="15"/>
        <v xml:space="preserve">1998, 1999, 2000, 2001, 2002, 2003, 2004, 2005, 2006, 2007, 2008, 2009, 2010, 2011, 2012, 2013, 2014, 2015, 2016, 2017, </v>
      </c>
      <c r="AY51" s="29"/>
      <c r="AZ51" s="29"/>
      <c r="BA51" s="29"/>
      <c r="BB51" s="29"/>
    </row>
    <row r="52" spans="1:54" x14ac:dyDescent="0.2">
      <c r="A52" s="24">
        <f t="shared" si="14"/>
        <v>49</v>
      </c>
      <c r="B52" s="25" t="s">
        <v>148</v>
      </c>
      <c r="C52" s="26" t="s">
        <v>149</v>
      </c>
      <c r="D52" s="25" t="s">
        <v>53</v>
      </c>
      <c r="E52" s="25">
        <v>0</v>
      </c>
      <c r="F52" s="25">
        <v>0</v>
      </c>
      <c r="G52" s="25">
        <v>0</v>
      </c>
      <c r="H52" s="25">
        <v>1</v>
      </c>
      <c r="I52" s="25">
        <v>2</v>
      </c>
      <c r="J52" s="25">
        <v>1</v>
      </c>
      <c r="K52" s="25">
        <v>0</v>
      </c>
      <c r="L52" s="25">
        <v>1</v>
      </c>
      <c r="M52" s="25">
        <v>1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1</v>
      </c>
      <c r="T52" s="25">
        <v>1</v>
      </c>
      <c r="U52" s="25">
        <v>0</v>
      </c>
      <c r="V52" s="25">
        <v>0</v>
      </c>
      <c r="W52" s="25">
        <v>0</v>
      </c>
      <c r="X52" s="35">
        <v>1</v>
      </c>
      <c r="Y52" s="25">
        <v>0</v>
      </c>
      <c r="Z52" s="46">
        <v>1</v>
      </c>
      <c r="AA52" s="35">
        <v>1</v>
      </c>
      <c r="AB52" s="25">
        <v>0</v>
      </c>
      <c r="AC52" s="27">
        <v>0</v>
      </c>
      <c r="AD52" s="28">
        <v>0</v>
      </c>
      <c r="AE52" s="35">
        <v>1</v>
      </c>
      <c r="AF52" s="29">
        <v>0</v>
      </c>
      <c r="AG52" s="30">
        <v>1</v>
      </c>
      <c r="AH52" s="29">
        <v>0</v>
      </c>
      <c r="AI52" s="25">
        <v>1</v>
      </c>
      <c r="AJ52" s="29">
        <v>0</v>
      </c>
      <c r="AK52" s="30">
        <v>1</v>
      </c>
      <c r="AL52" s="29">
        <v>0</v>
      </c>
      <c r="AM52" s="32">
        <v>0</v>
      </c>
      <c r="AN52" s="36">
        <v>0</v>
      </c>
      <c r="AO52" s="66">
        <v>0</v>
      </c>
      <c r="AP52" s="66">
        <v>0</v>
      </c>
      <c r="AQ52" s="66">
        <v>0</v>
      </c>
      <c r="AR52" s="66"/>
      <c r="AS52" s="66"/>
      <c r="AX52" s="34" t="str">
        <f t="shared" si="15"/>
        <v xml:space="preserve">1987, 1988, 1989, 1991, 1992, 1998, 1999, 2003, 2005, 2006, 2010, 2012, 2014, 2016, </v>
      </c>
      <c r="AY52" s="29"/>
      <c r="AZ52" s="29"/>
      <c r="BA52" s="29"/>
      <c r="BB52" s="29"/>
    </row>
    <row r="53" spans="1:54" x14ac:dyDescent="0.2">
      <c r="A53" s="24">
        <f t="shared" si="14"/>
        <v>50</v>
      </c>
      <c r="B53" s="25" t="s">
        <v>150</v>
      </c>
      <c r="C53" s="40" t="s">
        <v>151</v>
      </c>
      <c r="D53" s="25" t="s">
        <v>53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46">
        <v>1</v>
      </c>
      <c r="AC53" s="27">
        <v>0</v>
      </c>
      <c r="AD53" s="28">
        <v>0</v>
      </c>
      <c r="AE53" s="29">
        <v>0</v>
      </c>
      <c r="AF53" s="29">
        <v>0</v>
      </c>
      <c r="AG53" s="29">
        <v>0</v>
      </c>
      <c r="AH53" s="29">
        <v>0</v>
      </c>
      <c r="AI53" s="29">
        <v>0</v>
      </c>
      <c r="AJ53" s="29">
        <v>0</v>
      </c>
      <c r="AK53" s="29">
        <v>0</v>
      </c>
      <c r="AL53" s="29">
        <v>0</v>
      </c>
      <c r="AM53" s="37">
        <v>1</v>
      </c>
      <c r="AN53" s="36">
        <v>0</v>
      </c>
      <c r="AO53" s="66">
        <v>0</v>
      </c>
      <c r="AP53" s="66">
        <v>0</v>
      </c>
      <c r="AQ53" s="66">
        <v>0</v>
      </c>
      <c r="AR53" s="66"/>
      <c r="AS53" s="66"/>
      <c r="AX53" s="34" t="str">
        <f t="shared" si="15"/>
        <v xml:space="preserve">2007, 2018, </v>
      </c>
      <c r="AY53" s="29"/>
      <c r="AZ53" s="29"/>
      <c r="BA53" s="29"/>
      <c r="BB53" s="29"/>
    </row>
    <row r="54" spans="1:54" x14ac:dyDescent="0.2">
      <c r="A54" s="24">
        <f t="shared" si="14"/>
        <v>51</v>
      </c>
      <c r="B54" s="25" t="s">
        <v>152</v>
      </c>
      <c r="C54" s="26" t="s">
        <v>153</v>
      </c>
      <c r="D54" s="25" t="s">
        <v>53</v>
      </c>
      <c r="E54" s="25">
        <v>0</v>
      </c>
      <c r="F54" s="25">
        <v>0</v>
      </c>
      <c r="G54" s="25">
        <v>0</v>
      </c>
      <c r="H54" s="25">
        <v>1</v>
      </c>
      <c r="I54" s="25">
        <v>0</v>
      </c>
      <c r="J54" s="25">
        <v>1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1</v>
      </c>
      <c r="T54" s="25">
        <v>0</v>
      </c>
      <c r="U54" s="46">
        <v>1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46">
        <v>1</v>
      </c>
      <c r="AB54" s="25">
        <v>0</v>
      </c>
      <c r="AC54" s="27">
        <v>0</v>
      </c>
      <c r="AD54" s="28">
        <v>0</v>
      </c>
      <c r="AE54" s="29">
        <v>0</v>
      </c>
      <c r="AF54" s="30">
        <v>1</v>
      </c>
      <c r="AG54" s="29">
        <v>0</v>
      </c>
      <c r="AH54" s="29">
        <v>0</v>
      </c>
      <c r="AI54" s="30">
        <v>1</v>
      </c>
      <c r="AJ54" s="29">
        <v>0</v>
      </c>
      <c r="AK54" s="29">
        <v>0</v>
      </c>
      <c r="AL54" s="29">
        <v>0</v>
      </c>
      <c r="AM54" s="32">
        <v>0</v>
      </c>
      <c r="AN54" s="36">
        <v>0</v>
      </c>
      <c r="AO54" s="66">
        <v>0</v>
      </c>
      <c r="AP54" s="66">
        <v>0</v>
      </c>
      <c r="AQ54" s="66">
        <v>0</v>
      </c>
      <c r="AR54" s="66"/>
      <c r="AS54" s="66"/>
      <c r="AX54" s="34" t="str">
        <f t="shared" si="15"/>
        <v xml:space="preserve">1987, 1989, 1998, 2000, 2006, 2011, 2014, </v>
      </c>
      <c r="AY54" s="29"/>
      <c r="AZ54" s="29"/>
      <c r="BA54" s="29"/>
      <c r="BB54" s="29"/>
    </row>
    <row r="55" spans="1:54" x14ac:dyDescent="0.2">
      <c r="A55" s="24">
        <f t="shared" si="14"/>
        <v>52</v>
      </c>
      <c r="B55" s="25" t="s">
        <v>154</v>
      </c>
      <c r="C55" s="26" t="s">
        <v>155</v>
      </c>
      <c r="D55" s="25" t="s">
        <v>53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1</v>
      </c>
      <c r="M55" s="25">
        <v>0</v>
      </c>
      <c r="N55" s="25">
        <v>0</v>
      </c>
      <c r="O55" s="25">
        <v>1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46">
        <v>1</v>
      </c>
      <c r="X55" s="25">
        <v>0</v>
      </c>
      <c r="Y55" s="25">
        <v>0</v>
      </c>
      <c r="Z55" s="25">
        <v>0</v>
      </c>
      <c r="AA55" s="25">
        <v>0</v>
      </c>
      <c r="AB55" s="46">
        <v>1</v>
      </c>
      <c r="AC55" s="27">
        <v>0</v>
      </c>
      <c r="AD55" s="28">
        <v>0</v>
      </c>
      <c r="AE55" s="29">
        <v>0</v>
      </c>
      <c r="AF55" s="29">
        <v>0</v>
      </c>
      <c r="AG55" s="30">
        <v>1</v>
      </c>
      <c r="AH55" s="29">
        <v>0</v>
      </c>
      <c r="AI55" s="29">
        <v>0</v>
      </c>
      <c r="AJ55" s="29">
        <v>0</v>
      </c>
      <c r="AK55" s="29">
        <v>0</v>
      </c>
      <c r="AL55" s="29">
        <v>0</v>
      </c>
      <c r="AM55" s="32">
        <v>0</v>
      </c>
      <c r="AN55" s="36">
        <v>0</v>
      </c>
      <c r="AO55" s="66">
        <v>0</v>
      </c>
      <c r="AP55" s="66">
        <v>0</v>
      </c>
      <c r="AQ55" s="66">
        <v>0</v>
      </c>
      <c r="AR55" s="66"/>
      <c r="AS55" s="66"/>
      <c r="AX55" s="34" t="str">
        <f t="shared" si="15"/>
        <v xml:space="preserve">1991, 1994, 2002, 2007, 2012, </v>
      </c>
      <c r="AY55" s="29"/>
      <c r="AZ55" s="29"/>
      <c r="BA55" s="29"/>
      <c r="BB55" s="29"/>
    </row>
    <row r="56" spans="1:54" x14ac:dyDescent="0.2">
      <c r="A56" s="24">
        <f t="shared" si="14"/>
        <v>53</v>
      </c>
      <c r="B56" s="25" t="s">
        <v>156</v>
      </c>
      <c r="C56" s="26" t="s">
        <v>157</v>
      </c>
      <c r="D56" s="25" t="s">
        <v>53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1</v>
      </c>
      <c r="M56" s="25">
        <v>0</v>
      </c>
      <c r="N56" s="25">
        <v>1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46">
        <v>1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7">
        <v>0</v>
      </c>
      <c r="AD56" s="29">
        <v>0</v>
      </c>
      <c r="AE56" s="30">
        <v>1</v>
      </c>
      <c r="AF56" s="29">
        <v>0</v>
      </c>
      <c r="AG56" s="29">
        <v>0</v>
      </c>
      <c r="AH56" s="29">
        <v>0</v>
      </c>
      <c r="AI56" s="29">
        <v>0</v>
      </c>
      <c r="AJ56" s="29">
        <v>0</v>
      </c>
      <c r="AK56" s="29">
        <v>0</v>
      </c>
      <c r="AL56" s="29">
        <v>0</v>
      </c>
      <c r="AM56" s="37">
        <v>1</v>
      </c>
      <c r="AN56" s="36">
        <v>0</v>
      </c>
      <c r="AO56" s="66">
        <v>0</v>
      </c>
      <c r="AP56" s="66">
        <v>0</v>
      </c>
      <c r="AQ56" s="66">
        <v>0</v>
      </c>
      <c r="AR56" s="66"/>
      <c r="AS56" s="66"/>
      <c r="AX56" s="34" t="str">
        <f t="shared" si="15"/>
        <v xml:space="preserve">1991, 1993, 2002, 2010, 2018, </v>
      </c>
      <c r="AY56" s="29"/>
      <c r="AZ56" s="29"/>
      <c r="BA56" s="29"/>
      <c r="BB56" s="29"/>
    </row>
    <row r="57" spans="1:54" x14ac:dyDescent="0.2">
      <c r="A57" s="24">
        <f t="shared" si="14"/>
        <v>54</v>
      </c>
      <c r="B57" s="25" t="s">
        <v>158</v>
      </c>
      <c r="C57" s="26" t="s">
        <v>159</v>
      </c>
      <c r="D57" s="25" t="s">
        <v>53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2</v>
      </c>
      <c r="O57" s="25">
        <v>0</v>
      </c>
      <c r="P57" s="25">
        <v>0</v>
      </c>
      <c r="Q57" s="25">
        <v>0</v>
      </c>
      <c r="R57" s="25">
        <v>0</v>
      </c>
      <c r="S57" s="25">
        <v>1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7">
        <v>0</v>
      </c>
      <c r="AD57" s="28">
        <v>0</v>
      </c>
      <c r="AE57" s="29">
        <v>0</v>
      </c>
      <c r="AF57" s="29">
        <v>0</v>
      </c>
      <c r="AG57" s="29">
        <v>0</v>
      </c>
      <c r="AH57" s="29">
        <v>0</v>
      </c>
      <c r="AI57" s="29">
        <v>0</v>
      </c>
      <c r="AJ57" s="29">
        <v>0</v>
      </c>
      <c r="AK57" s="29">
        <v>0</v>
      </c>
      <c r="AL57" s="29">
        <v>0</v>
      </c>
      <c r="AM57" s="37">
        <v>1</v>
      </c>
      <c r="AN57" s="36">
        <v>0</v>
      </c>
      <c r="AO57" s="66">
        <v>0</v>
      </c>
      <c r="AP57" s="66">
        <v>0</v>
      </c>
      <c r="AQ57" s="66">
        <v>0</v>
      </c>
      <c r="AR57" s="66"/>
      <c r="AS57" s="66"/>
      <c r="AX57" s="34" t="str">
        <f t="shared" si="15"/>
        <v xml:space="preserve">1993, 1998, 2018, </v>
      </c>
      <c r="AY57" s="29"/>
      <c r="AZ57" s="29"/>
      <c r="BA57" s="29"/>
      <c r="BB57" s="29"/>
    </row>
    <row r="58" spans="1:54" x14ac:dyDescent="0.2">
      <c r="A58" s="24">
        <f t="shared" si="14"/>
        <v>55</v>
      </c>
      <c r="B58" s="25" t="s">
        <v>160</v>
      </c>
      <c r="C58" s="26" t="s">
        <v>161</v>
      </c>
      <c r="D58" s="25" t="s">
        <v>53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46">
        <v>1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7">
        <v>0</v>
      </c>
      <c r="AD58" s="28">
        <v>0</v>
      </c>
      <c r="AE58" s="29">
        <v>0</v>
      </c>
      <c r="AF58" s="29">
        <v>0</v>
      </c>
      <c r="AG58" s="30">
        <v>1</v>
      </c>
      <c r="AH58" s="30">
        <v>1</v>
      </c>
      <c r="AI58" s="29">
        <v>0</v>
      </c>
      <c r="AJ58" s="29">
        <v>0</v>
      </c>
      <c r="AK58" s="29">
        <v>0</v>
      </c>
      <c r="AL58" s="30">
        <v>1</v>
      </c>
      <c r="AM58" s="32">
        <v>0</v>
      </c>
      <c r="AN58" s="36">
        <v>0</v>
      </c>
      <c r="AO58" s="66">
        <v>0</v>
      </c>
      <c r="AP58" s="66">
        <v>0</v>
      </c>
      <c r="AQ58" s="66">
        <v>0</v>
      </c>
      <c r="AR58" s="66"/>
      <c r="AS58" s="66"/>
      <c r="AX58" s="34" t="str">
        <f t="shared" si="15"/>
        <v xml:space="preserve">2001, 2012, 2013, 2017, </v>
      </c>
      <c r="AY58" s="29"/>
      <c r="AZ58" s="29"/>
      <c r="BA58" s="29"/>
      <c r="BB58" s="29"/>
    </row>
    <row r="59" spans="1:54" x14ac:dyDescent="0.2">
      <c r="A59" s="24">
        <f t="shared" si="14"/>
        <v>56</v>
      </c>
      <c r="B59" s="25" t="s">
        <v>162</v>
      </c>
      <c r="C59" s="26" t="s">
        <v>163</v>
      </c>
      <c r="D59" s="25" t="s">
        <v>53</v>
      </c>
      <c r="E59" s="25">
        <v>0</v>
      </c>
      <c r="F59" s="25">
        <v>0</v>
      </c>
      <c r="G59" s="25">
        <v>1</v>
      </c>
      <c r="H59" s="25">
        <v>0</v>
      </c>
      <c r="I59" s="25">
        <v>0</v>
      </c>
      <c r="J59" s="25">
        <v>2</v>
      </c>
      <c r="K59" s="25">
        <v>2</v>
      </c>
      <c r="L59" s="25">
        <v>1</v>
      </c>
      <c r="M59" s="25">
        <v>2</v>
      </c>
      <c r="N59" s="25">
        <v>1</v>
      </c>
      <c r="O59" s="25">
        <v>2</v>
      </c>
      <c r="P59" s="25">
        <v>1</v>
      </c>
      <c r="Q59" s="25">
        <v>0</v>
      </c>
      <c r="R59" s="25">
        <v>0</v>
      </c>
      <c r="S59" s="25">
        <v>1</v>
      </c>
      <c r="T59" s="25">
        <v>1</v>
      </c>
      <c r="U59" s="25">
        <v>0</v>
      </c>
      <c r="V59" s="46">
        <v>1</v>
      </c>
      <c r="W59" s="46">
        <v>1</v>
      </c>
      <c r="X59" s="46">
        <v>1</v>
      </c>
      <c r="Y59" s="46">
        <v>1</v>
      </c>
      <c r="Z59" s="46">
        <v>1</v>
      </c>
      <c r="AA59" s="46">
        <v>1</v>
      </c>
      <c r="AB59" s="46">
        <v>1</v>
      </c>
      <c r="AC59" s="46">
        <v>1</v>
      </c>
      <c r="AD59" s="39">
        <v>1</v>
      </c>
      <c r="AE59" s="30">
        <v>1</v>
      </c>
      <c r="AF59" s="30">
        <v>1</v>
      </c>
      <c r="AG59" s="30">
        <v>1</v>
      </c>
      <c r="AH59" s="30">
        <v>1</v>
      </c>
      <c r="AI59" s="30">
        <v>1</v>
      </c>
      <c r="AJ59" s="30">
        <v>1</v>
      </c>
      <c r="AK59" s="30">
        <v>1</v>
      </c>
      <c r="AL59" s="30">
        <v>1</v>
      </c>
      <c r="AM59" s="37">
        <v>2</v>
      </c>
      <c r="AN59" s="36">
        <v>0</v>
      </c>
      <c r="AO59" s="66">
        <v>0</v>
      </c>
      <c r="AP59" s="66">
        <v>0</v>
      </c>
      <c r="AQ59" s="66">
        <v>0</v>
      </c>
      <c r="AR59" s="66"/>
      <c r="AS59" s="66"/>
      <c r="AX59" s="34" t="str">
        <f t="shared" si="15"/>
        <v xml:space="preserve">1986, 1989, 1990, 1991, 1992, 1993, 1994, 1995, 1998, 1999, 2001, 2002, 2003, 2004, 2005, 2006, 2007, 2008, 2009, 2010, 2011, 2012, 2013, 2014, 2015, 2016, 2017, 2018, </v>
      </c>
      <c r="AY59" s="29"/>
      <c r="AZ59" s="29"/>
      <c r="BA59" s="29"/>
      <c r="BB59" s="29"/>
    </row>
    <row r="60" spans="1:54" x14ac:dyDescent="0.2">
      <c r="A60" s="24">
        <f t="shared" si="14"/>
        <v>57</v>
      </c>
      <c r="B60" s="25" t="s">
        <v>164</v>
      </c>
      <c r="C60" s="26" t="s">
        <v>165</v>
      </c>
      <c r="D60" s="25" t="s">
        <v>53</v>
      </c>
      <c r="E60" s="25">
        <v>0</v>
      </c>
      <c r="F60" s="25">
        <v>0</v>
      </c>
      <c r="G60" s="25">
        <v>2</v>
      </c>
      <c r="H60" s="25">
        <v>1</v>
      </c>
      <c r="I60" s="25">
        <v>2</v>
      </c>
      <c r="J60" s="25">
        <v>1</v>
      </c>
      <c r="K60" s="25">
        <v>1</v>
      </c>
      <c r="L60" s="25">
        <v>1</v>
      </c>
      <c r="M60" s="25">
        <v>2</v>
      </c>
      <c r="N60" s="25">
        <v>1</v>
      </c>
      <c r="O60" s="25">
        <v>2</v>
      </c>
      <c r="P60" s="25">
        <v>2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46">
        <v>1</v>
      </c>
      <c r="Z60" s="35">
        <v>1</v>
      </c>
      <c r="AA60" s="35">
        <v>1</v>
      </c>
      <c r="AB60" s="35">
        <v>1</v>
      </c>
      <c r="AC60" s="27">
        <v>0</v>
      </c>
      <c r="AD60" s="39">
        <v>1</v>
      </c>
      <c r="AE60" s="29">
        <v>0</v>
      </c>
      <c r="AF60" s="30">
        <v>1</v>
      </c>
      <c r="AG60" s="25">
        <v>0</v>
      </c>
      <c r="AH60" s="29">
        <v>0</v>
      </c>
      <c r="AI60" s="29">
        <v>0</v>
      </c>
      <c r="AJ60" s="50">
        <v>0</v>
      </c>
      <c r="AK60" s="29">
        <v>0</v>
      </c>
      <c r="AL60" s="29">
        <v>0</v>
      </c>
      <c r="AM60" s="32">
        <v>0</v>
      </c>
      <c r="AN60" s="36">
        <v>0</v>
      </c>
      <c r="AO60" s="66">
        <v>0</v>
      </c>
      <c r="AP60" s="66">
        <v>0</v>
      </c>
      <c r="AQ60" s="66">
        <v>1</v>
      </c>
      <c r="AR60" s="66">
        <v>1</v>
      </c>
      <c r="AS60" s="66"/>
      <c r="AX60" s="34" t="str">
        <f t="shared" si="15"/>
        <v xml:space="preserve">1986, 1987, 1988, 1989, 1990, 1991, 1992, 1993, 1994, 1995, 2004, 2005, 2006, 2007, 2009, 2011, 2022, 2023, </v>
      </c>
      <c r="AY60" s="29"/>
      <c r="AZ60" s="29"/>
      <c r="BA60" s="29"/>
      <c r="BB60" s="29"/>
    </row>
    <row r="61" spans="1:54" x14ac:dyDescent="0.2">
      <c r="A61" s="24">
        <f t="shared" si="14"/>
        <v>58</v>
      </c>
      <c r="B61" s="25" t="s">
        <v>166</v>
      </c>
      <c r="C61" s="26" t="s">
        <v>167</v>
      </c>
      <c r="D61" s="25" t="s">
        <v>53</v>
      </c>
      <c r="E61" s="25">
        <v>0</v>
      </c>
      <c r="F61" s="25">
        <v>1</v>
      </c>
      <c r="G61" s="25">
        <v>1</v>
      </c>
      <c r="H61" s="25">
        <v>2</v>
      </c>
      <c r="I61" s="25">
        <v>1</v>
      </c>
      <c r="J61" s="25">
        <v>1</v>
      </c>
      <c r="K61" s="25">
        <v>2</v>
      </c>
      <c r="L61" s="25">
        <v>1</v>
      </c>
      <c r="M61" s="25">
        <v>1</v>
      </c>
      <c r="N61" s="25">
        <v>2</v>
      </c>
      <c r="O61" s="25">
        <v>1</v>
      </c>
      <c r="P61" s="25">
        <v>1</v>
      </c>
      <c r="Q61" s="25">
        <v>0</v>
      </c>
      <c r="R61" s="25">
        <v>0</v>
      </c>
      <c r="S61" s="25">
        <v>1</v>
      </c>
      <c r="T61" s="25">
        <v>1</v>
      </c>
      <c r="U61" s="46">
        <v>1</v>
      </c>
      <c r="V61" s="46">
        <v>1</v>
      </c>
      <c r="W61" s="46">
        <v>1</v>
      </c>
      <c r="X61" s="46">
        <v>1</v>
      </c>
      <c r="Y61" s="46">
        <v>1</v>
      </c>
      <c r="Z61" s="46">
        <v>1</v>
      </c>
      <c r="AA61" s="46">
        <v>1</v>
      </c>
      <c r="AB61" s="46">
        <v>1</v>
      </c>
      <c r="AC61" s="46">
        <v>1</v>
      </c>
      <c r="AD61" s="39">
        <v>1</v>
      </c>
      <c r="AE61" s="30">
        <v>1</v>
      </c>
      <c r="AF61" s="30">
        <v>1</v>
      </c>
      <c r="AG61" s="30">
        <v>1</v>
      </c>
      <c r="AH61" s="30">
        <v>1</v>
      </c>
      <c r="AI61" s="30">
        <v>1</v>
      </c>
      <c r="AJ61" s="30">
        <v>1</v>
      </c>
      <c r="AK61" s="30">
        <v>1</v>
      </c>
      <c r="AL61" s="30">
        <v>1</v>
      </c>
      <c r="AM61" s="37">
        <v>1</v>
      </c>
      <c r="AN61" s="36">
        <v>0</v>
      </c>
      <c r="AO61" s="66">
        <v>0</v>
      </c>
      <c r="AP61" s="66">
        <v>0</v>
      </c>
      <c r="AQ61" s="66">
        <v>0</v>
      </c>
      <c r="AR61" s="66"/>
      <c r="AS61" s="66"/>
      <c r="AX61" s="34" t="str">
        <f t="shared" si="15"/>
        <v xml:space="preserve">1985, 1986, 1987, 1988, 1989, 1990, 1991, 1992, 1993, 1994, 1995, 1998, 1999, 2000, 2001, 2002, 2003, 2004, 2005, 2006, 2007, 2008, 2009, 2010, 2011, 2012, 2013, 2014, 2015, 2016, 2017, 2018, </v>
      </c>
      <c r="AY61" s="29"/>
      <c r="AZ61" s="29"/>
      <c r="BA61" s="29"/>
      <c r="BB61" s="29"/>
    </row>
    <row r="62" spans="1:54" x14ac:dyDescent="0.2">
      <c r="A62" s="24">
        <f t="shared" si="14"/>
        <v>59</v>
      </c>
      <c r="B62" s="25" t="s">
        <v>168</v>
      </c>
      <c r="C62" s="40" t="s">
        <v>169</v>
      </c>
      <c r="D62" s="25" t="s">
        <v>53</v>
      </c>
      <c r="E62" s="25">
        <v>0</v>
      </c>
      <c r="F62" s="25">
        <v>0</v>
      </c>
      <c r="G62" s="25">
        <v>2</v>
      </c>
      <c r="H62" s="25">
        <v>0</v>
      </c>
      <c r="I62" s="25">
        <v>0</v>
      </c>
      <c r="J62" s="25">
        <v>0</v>
      </c>
      <c r="K62" s="25">
        <v>2</v>
      </c>
      <c r="L62" s="25">
        <v>0</v>
      </c>
      <c r="M62" s="25">
        <v>0</v>
      </c>
      <c r="N62" s="25">
        <v>0</v>
      </c>
      <c r="O62" s="25">
        <v>2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46">
        <v>1</v>
      </c>
      <c r="AA62" s="46">
        <v>1</v>
      </c>
      <c r="AB62" s="25">
        <v>0</v>
      </c>
      <c r="AC62" s="27">
        <v>0</v>
      </c>
      <c r="AD62" s="46">
        <v>1</v>
      </c>
      <c r="AE62" s="25">
        <v>1</v>
      </c>
      <c r="AF62" s="25">
        <v>1</v>
      </c>
      <c r="AG62" s="25">
        <v>1</v>
      </c>
      <c r="AH62" s="46">
        <v>1</v>
      </c>
      <c r="AI62" s="46">
        <v>1</v>
      </c>
      <c r="AJ62" s="46">
        <v>1</v>
      </c>
      <c r="AK62" s="46">
        <v>1</v>
      </c>
      <c r="AL62" s="46">
        <v>1</v>
      </c>
      <c r="AM62" s="32">
        <v>0</v>
      </c>
      <c r="AN62" s="36">
        <v>0</v>
      </c>
      <c r="AO62" s="66">
        <v>0</v>
      </c>
      <c r="AP62" s="66">
        <v>0</v>
      </c>
      <c r="AQ62" s="66">
        <v>0</v>
      </c>
      <c r="AR62" s="66"/>
      <c r="AS62" s="66"/>
      <c r="AX62" s="34" t="str">
        <f t="shared" si="15"/>
        <v xml:space="preserve">1986, 1990, 1994, 2005, 2006, 2009, 2010, 2011, 2012, 2013, 2014, 2015, 2016, 2017, </v>
      </c>
      <c r="AY62" s="29"/>
      <c r="AZ62" s="29"/>
      <c r="BA62" s="29"/>
      <c r="BB62" s="29"/>
    </row>
    <row r="63" spans="1:54" x14ac:dyDescent="0.2">
      <c r="A63" s="24">
        <f t="shared" si="14"/>
        <v>60</v>
      </c>
      <c r="B63" s="25" t="s">
        <v>170</v>
      </c>
      <c r="C63" s="26" t="s">
        <v>171</v>
      </c>
      <c r="D63" s="25" t="s">
        <v>53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46">
        <v>1</v>
      </c>
      <c r="AB63" s="25">
        <v>0</v>
      </c>
      <c r="AC63" s="27">
        <v>0</v>
      </c>
      <c r="AD63" s="28">
        <v>0</v>
      </c>
      <c r="AE63" s="29">
        <v>0</v>
      </c>
      <c r="AF63" s="29">
        <v>0</v>
      </c>
      <c r="AG63" s="30">
        <v>1</v>
      </c>
      <c r="AH63" s="29">
        <v>0</v>
      </c>
      <c r="AI63" s="29">
        <v>0</v>
      </c>
      <c r="AJ63" s="29">
        <v>0</v>
      </c>
      <c r="AK63" s="29">
        <v>0</v>
      </c>
      <c r="AL63" s="30">
        <v>1</v>
      </c>
      <c r="AM63" s="32">
        <v>0</v>
      </c>
      <c r="AN63" s="33">
        <v>1</v>
      </c>
      <c r="AO63" s="66">
        <v>0</v>
      </c>
      <c r="AP63" s="66">
        <v>0</v>
      </c>
      <c r="AQ63" s="66">
        <v>0</v>
      </c>
      <c r="AR63" s="66"/>
      <c r="AS63" s="66"/>
      <c r="AX63" s="34" t="str">
        <f t="shared" si="15"/>
        <v xml:space="preserve">2006, 2012, 2017, 2019, </v>
      </c>
      <c r="AY63" s="29"/>
      <c r="AZ63" s="29"/>
      <c r="BA63" s="29"/>
      <c r="BB63" s="29"/>
    </row>
    <row r="64" spans="1:54" x14ac:dyDescent="0.2">
      <c r="A64" s="24">
        <f t="shared" si="14"/>
        <v>61</v>
      </c>
      <c r="B64" s="25" t="s">
        <v>172</v>
      </c>
      <c r="C64" s="26" t="s">
        <v>173</v>
      </c>
      <c r="D64" s="25" t="s">
        <v>53</v>
      </c>
      <c r="E64" s="25">
        <v>0</v>
      </c>
      <c r="F64" s="25">
        <v>0</v>
      </c>
      <c r="G64" s="25">
        <v>0</v>
      </c>
      <c r="H64" s="25">
        <v>0</v>
      </c>
      <c r="I64" s="25">
        <v>2</v>
      </c>
      <c r="J64" s="25">
        <v>2</v>
      </c>
      <c r="K64" s="25">
        <v>2</v>
      </c>
      <c r="L64" s="25">
        <v>2</v>
      </c>
      <c r="M64" s="25">
        <v>1</v>
      </c>
      <c r="N64" s="25">
        <v>2</v>
      </c>
      <c r="O64" s="25">
        <v>1</v>
      </c>
      <c r="P64" s="25">
        <v>1</v>
      </c>
      <c r="Q64" s="25">
        <v>0</v>
      </c>
      <c r="R64" s="25">
        <v>0</v>
      </c>
      <c r="S64" s="25">
        <v>0</v>
      </c>
      <c r="T64" s="25">
        <v>1</v>
      </c>
      <c r="U64" s="35">
        <v>1</v>
      </c>
      <c r="V64" s="35">
        <v>1</v>
      </c>
      <c r="W64" s="35">
        <v>1</v>
      </c>
      <c r="X64" s="46">
        <v>1</v>
      </c>
      <c r="Y64" s="46">
        <v>1</v>
      </c>
      <c r="Z64" s="46">
        <v>1</v>
      </c>
      <c r="AA64" s="46">
        <v>1</v>
      </c>
      <c r="AB64" s="46">
        <v>1</v>
      </c>
      <c r="AC64" s="46">
        <v>1</v>
      </c>
      <c r="AD64" s="39">
        <v>1</v>
      </c>
      <c r="AE64" s="30">
        <v>1</v>
      </c>
      <c r="AF64" s="30">
        <v>1</v>
      </c>
      <c r="AG64" s="30">
        <v>0</v>
      </c>
      <c r="AH64" s="30">
        <v>1</v>
      </c>
      <c r="AI64" s="30">
        <v>1</v>
      </c>
      <c r="AJ64" s="30">
        <v>1</v>
      </c>
      <c r="AK64" s="30">
        <v>1</v>
      </c>
      <c r="AL64" s="29">
        <v>0</v>
      </c>
      <c r="AM64" s="32">
        <v>0</v>
      </c>
      <c r="AN64" s="36">
        <v>0</v>
      </c>
      <c r="AO64" s="66">
        <v>0</v>
      </c>
      <c r="AP64" s="66">
        <v>0</v>
      </c>
      <c r="AQ64" s="66">
        <v>0</v>
      </c>
      <c r="AR64" s="66"/>
      <c r="AS64" s="66"/>
      <c r="AX64" s="34" t="str">
        <f t="shared" si="15"/>
        <v xml:space="preserve">1988, 1989, 1990, 1991, 1992, 1993, 1994, 1995, 1999, 2000, 2001, 2002, 2003, 2004, 2005, 2006, 2007, 2008, 2009, 2010, 2011, 2013, 2014, 2015, 2016, </v>
      </c>
      <c r="AY64" s="29"/>
      <c r="AZ64" s="29"/>
      <c r="BA64" s="29"/>
      <c r="BB64" s="29"/>
    </row>
    <row r="65" spans="1:54" x14ac:dyDescent="0.2">
      <c r="A65" s="24">
        <f t="shared" si="14"/>
        <v>62</v>
      </c>
      <c r="B65" s="25" t="s">
        <v>174</v>
      </c>
      <c r="C65" s="26" t="s">
        <v>175</v>
      </c>
      <c r="D65" s="25" t="s">
        <v>53</v>
      </c>
      <c r="E65" s="25">
        <v>0</v>
      </c>
      <c r="F65" s="25">
        <v>0</v>
      </c>
      <c r="G65" s="25">
        <v>1</v>
      </c>
      <c r="H65" s="25">
        <v>2</v>
      </c>
      <c r="I65" s="25">
        <v>0</v>
      </c>
      <c r="J65" s="25">
        <v>0</v>
      </c>
      <c r="K65" s="25">
        <v>0</v>
      </c>
      <c r="L65" s="25">
        <v>1</v>
      </c>
      <c r="M65" s="25">
        <v>2</v>
      </c>
      <c r="N65" s="25">
        <v>0</v>
      </c>
      <c r="O65" s="25">
        <v>0</v>
      </c>
      <c r="P65" s="25">
        <v>1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35">
        <v>1</v>
      </c>
      <c r="X65" s="25">
        <v>0</v>
      </c>
      <c r="Y65" s="25">
        <v>0</v>
      </c>
      <c r="Z65" s="25">
        <v>0</v>
      </c>
      <c r="AA65" s="46">
        <v>1</v>
      </c>
      <c r="AB65" s="29">
        <v>0</v>
      </c>
      <c r="AC65" s="46">
        <v>1</v>
      </c>
      <c r="AD65" s="29">
        <v>0</v>
      </c>
      <c r="AE65" s="30">
        <v>1</v>
      </c>
      <c r="AF65" s="29">
        <v>0</v>
      </c>
      <c r="AG65" s="29">
        <v>0</v>
      </c>
      <c r="AH65" s="50">
        <v>1</v>
      </c>
      <c r="AI65" s="29">
        <v>0</v>
      </c>
      <c r="AJ65" s="29">
        <v>0</v>
      </c>
      <c r="AK65" s="29">
        <v>0</v>
      </c>
      <c r="AL65" s="30">
        <v>1</v>
      </c>
      <c r="AM65" s="32">
        <v>0</v>
      </c>
      <c r="AN65" s="36">
        <v>0</v>
      </c>
      <c r="AO65" s="66">
        <v>0</v>
      </c>
      <c r="AP65" s="66">
        <v>0</v>
      </c>
      <c r="AQ65" s="66">
        <v>0</v>
      </c>
      <c r="AR65" s="66"/>
      <c r="AS65" s="66"/>
      <c r="AX65" s="34" t="str">
        <f t="shared" si="15"/>
        <v xml:space="preserve">1986, 1987, 1991, 1992, 1995, 2002, 2006, 2008, 2010, 2013, 2017, </v>
      </c>
      <c r="AY65" s="29"/>
      <c r="AZ65" s="29"/>
      <c r="BA65" s="29"/>
      <c r="BB65" s="29"/>
    </row>
    <row r="66" spans="1:54" x14ac:dyDescent="0.2">
      <c r="A66" s="24">
        <f t="shared" si="14"/>
        <v>63</v>
      </c>
      <c r="B66" s="25" t="s">
        <v>176</v>
      </c>
      <c r="C66" s="40" t="s">
        <v>177</v>
      </c>
      <c r="D66" s="25" t="s">
        <v>53</v>
      </c>
      <c r="E66" s="25">
        <v>0</v>
      </c>
      <c r="F66" s="25">
        <v>0</v>
      </c>
      <c r="G66" s="25">
        <v>0</v>
      </c>
      <c r="H66" s="25">
        <v>0</v>
      </c>
      <c r="I66" s="25">
        <v>1</v>
      </c>
      <c r="J66" s="25">
        <v>0</v>
      </c>
      <c r="K66" s="25">
        <v>1</v>
      </c>
      <c r="L66" s="25">
        <v>0</v>
      </c>
      <c r="M66" s="25">
        <v>0</v>
      </c>
      <c r="N66" s="25">
        <v>1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46">
        <v>1</v>
      </c>
      <c r="W66" s="46">
        <v>1</v>
      </c>
      <c r="X66" s="46">
        <v>1</v>
      </c>
      <c r="Y66" s="46">
        <v>1</v>
      </c>
      <c r="Z66" s="46">
        <v>1</v>
      </c>
      <c r="AA66" s="46">
        <v>1</v>
      </c>
      <c r="AB66" s="46">
        <v>1</v>
      </c>
      <c r="AC66" s="46">
        <v>1</v>
      </c>
      <c r="AD66" s="39">
        <v>1</v>
      </c>
      <c r="AE66" s="30">
        <v>1</v>
      </c>
      <c r="AF66" s="30">
        <v>1</v>
      </c>
      <c r="AG66" s="30">
        <v>1</v>
      </c>
      <c r="AH66" s="30">
        <v>1</v>
      </c>
      <c r="AI66" s="30">
        <v>1</v>
      </c>
      <c r="AJ66" s="30">
        <v>1</v>
      </c>
      <c r="AK66" s="30">
        <v>1</v>
      </c>
      <c r="AL66" s="30">
        <v>1</v>
      </c>
      <c r="AM66" s="32">
        <v>0</v>
      </c>
      <c r="AN66" s="36">
        <v>0</v>
      </c>
      <c r="AO66" s="66">
        <v>0</v>
      </c>
      <c r="AP66" s="66">
        <v>0</v>
      </c>
      <c r="AQ66" s="66">
        <v>0</v>
      </c>
      <c r="AR66" s="66"/>
      <c r="AS66" s="66"/>
      <c r="AX66" s="34" t="str">
        <f t="shared" si="15"/>
        <v xml:space="preserve">1988, 1990, 1993, 2001, 2002, 2003, 2004, 2005, 2006, 2007, 2008, 2009, 2010, 2011, 2012, 2013, 2014, 2015, 2016, 2017, </v>
      </c>
      <c r="AY66" s="29"/>
      <c r="AZ66" s="29"/>
      <c r="BA66" s="29"/>
      <c r="BB66" s="29"/>
    </row>
    <row r="67" spans="1:54" x14ac:dyDescent="0.2">
      <c r="A67" s="24">
        <f t="shared" si="14"/>
        <v>64</v>
      </c>
      <c r="B67" s="25" t="s">
        <v>178</v>
      </c>
      <c r="C67" s="26" t="s">
        <v>179</v>
      </c>
      <c r="D67" s="25" t="s">
        <v>53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2</v>
      </c>
      <c r="N67" s="25">
        <v>0</v>
      </c>
      <c r="O67" s="25">
        <v>2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46">
        <v>1</v>
      </c>
      <c r="AA67" s="25">
        <v>1</v>
      </c>
      <c r="AB67" s="25">
        <v>0</v>
      </c>
      <c r="AC67" s="27">
        <v>0</v>
      </c>
      <c r="AD67" s="28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30">
        <v>1</v>
      </c>
      <c r="AK67" s="29">
        <v>1</v>
      </c>
      <c r="AL67" s="29">
        <v>0</v>
      </c>
      <c r="AM67" s="32">
        <v>0</v>
      </c>
      <c r="AN67" s="33">
        <v>1</v>
      </c>
      <c r="AO67" s="66">
        <v>0</v>
      </c>
      <c r="AP67" s="66">
        <v>0</v>
      </c>
      <c r="AQ67" s="66">
        <v>0</v>
      </c>
      <c r="AR67" s="66"/>
      <c r="AS67" s="66"/>
      <c r="AX67" s="34" t="str">
        <f t="shared" si="15"/>
        <v xml:space="preserve">1992, 1994, 2005, 2006, 2015, 2016, 2019, </v>
      </c>
      <c r="AY67" s="29"/>
      <c r="AZ67" s="29"/>
      <c r="BA67" s="29"/>
      <c r="BB67" s="29"/>
    </row>
    <row r="68" spans="1:54" x14ac:dyDescent="0.2">
      <c r="A68" s="24">
        <f t="shared" si="14"/>
        <v>65</v>
      </c>
      <c r="B68" s="25" t="s">
        <v>180</v>
      </c>
      <c r="C68" s="26" t="s">
        <v>181</v>
      </c>
      <c r="D68" s="25" t="s">
        <v>53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46">
        <v>1</v>
      </c>
      <c r="AB68" s="25">
        <v>0</v>
      </c>
      <c r="AC68" s="27">
        <v>0</v>
      </c>
      <c r="AD68" s="28">
        <v>0</v>
      </c>
      <c r="AE68" s="29">
        <v>0</v>
      </c>
      <c r="AF68" s="29">
        <v>0</v>
      </c>
      <c r="AG68" s="29">
        <v>0</v>
      </c>
      <c r="AH68" s="29">
        <v>0</v>
      </c>
      <c r="AI68" s="29">
        <v>0</v>
      </c>
      <c r="AJ68" s="29">
        <v>0</v>
      </c>
      <c r="AK68" s="29">
        <v>0</v>
      </c>
      <c r="AL68" s="29">
        <v>0</v>
      </c>
      <c r="AM68" s="32">
        <v>0</v>
      </c>
      <c r="AN68" s="33">
        <v>1</v>
      </c>
      <c r="AO68" s="66">
        <v>0</v>
      </c>
      <c r="AP68" s="66">
        <v>0</v>
      </c>
      <c r="AQ68" s="66">
        <v>0</v>
      </c>
      <c r="AR68" s="66"/>
      <c r="AS68" s="66"/>
      <c r="AX68" s="34" t="str">
        <f t="shared" si="15"/>
        <v xml:space="preserve">2006, 2019, </v>
      </c>
      <c r="AY68" s="29"/>
      <c r="AZ68" s="29"/>
      <c r="BA68" s="29"/>
      <c r="BB68" s="29"/>
    </row>
    <row r="69" spans="1:54" x14ac:dyDescent="0.2">
      <c r="A69" s="24">
        <f t="shared" ref="A69:A132" si="16">1+A68</f>
        <v>66</v>
      </c>
      <c r="B69" s="25" t="s">
        <v>182</v>
      </c>
      <c r="C69" s="34" t="s">
        <v>183</v>
      </c>
      <c r="D69" s="25" t="s">
        <v>53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49">
        <v>1</v>
      </c>
      <c r="V69" s="25">
        <v>0</v>
      </c>
      <c r="W69" s="25">
        <v>0</v>
      </c>
      <c r="X69" s="46">
        <v>1</v>
      </c>
      <c r="Y69" s="35">
        <v>1</v>
      </c>
      <c r="Z69" s="46">
        <v>1</v>
      </c>
      <c r="AA69" s="46">
        <v>1</v>
      </c>
      <c r="AB69" s="35">
        <v>1</v>
      </c>
      <c r="AC69" s="35">
        <v>1</v>
      </c>
      <c r="AD69" s="39">
        <v>1</v>
      </c>
      <c r="AE69" s="30">
        <v>1</v>
      </c>
      <c r="AF69" s="30">
        <v>1</v>
      </c>
      <c r="AG69" s="30">
        <v>1</v>
      </c>
      <c r="AH69" s="30">
        <v>1</v>
      </c>
      <c r="AI69" s="30">
        <v>1</v>
      </c>
      <c r="AJ69" s="30">
        <v>1</v>
      </c>
      <c r="AK69" s="30">
        <v>1</v>
      </c>
      <c r="AL69" s="30">
        <v>1</v>
      </c>
      <c r="AM69" s="37">
        <v>1</v>
      </c>
      <c r="AN69" s="36">
        <v>0</v>
      </c>
      <c r="AO69" s="66">
        <v>0</v>
      </c>
      <c r="AP69" s="66">
        <v>0</v>
      </c>
      <c r="AQ69" s="66">
        <v>0</v>
      </c>
      <c r="AR69" s="66"/>
      <c r="AS69" s="66"/>
      <c r="AX69" s="34" t="str">
        <f t="shared" ref="AX69:AX132" si="17">+IF($F69&gt;=1,RIGHT(F$3,4)&amp;", ","")&amp;IF($G69&gt;=1,RIGHT(G$3,4)&amp;", ","")&amp;IF($H69&gt;=1,RIGHT(H$3,4)&amp;", ","")&amp;IF($I69&gt;=1,RIGHT(I$3,4)&amp;", ","")&amp;IF($J69&gt;=1,RIGHT(J$3,4)&amp;", ","")&amp;IF($K69&gt;=1,RIGHT(K$3,4)&amp;", ","")&amp;IF($L69&gt;=1,RIGHT(L$3,4)&amp;", ","")&amp;IF($M69&gt;=1,RIGHT(M$3,4)&amp;", ","")&amp;IF($N69&gt;=1,RIGHT(N$3,4)&amp;", ","")&amp;IF($O69&gt;=1,RIGHT(O$3,4)&amp;", ","")&amp;IF($P69&gt;=1,RIGHT(P$3,4)&amp;", ","")&amp;IF($Q69&gt;=1,RIGHT(Q$3,4)&amp;", ","")&amp;IF($R69&gt;=1,RIGHT(R$3,4)&amp;", ","")&amp;IF($S69&gt;=1,RIGHT(S$3,4)&amp;", ","")&amp;IF($T69&gt;=1,RIGHT(T$3,4)&amp;", ","")&amp;IF($U69&gt;=1,RIGHT(U$3,4)&amp;", ","")&amp;IF($V69&gt;=1,RIGHT(V$3,4)&amp;", ","")&amp;IF($W69&gt;=1,RIGHT(W$3,4)&amp;", ","")&amp;IF($X69&gt;=1,RIGHT(X$3,4)&amp;", ","")&amp;IF($Y69&gt;=1,RIGHT(Y$3,4)&amp;", ","")&amp;IF($Z69&gt;=1,RIGHT(Z$3,4)&amp;", ","")&amp;IF($AA69&gt;=1,RIGHT(AA$3,4)&amp;", ","")&amp;IF($AB69&gt;=1,RIGHT(AB$3,4)&amp;", ","")&amp;IF($AC69&gt;=1,RIGHT(AC$3,4)&amp;", ","")&amp;IF($AD69&gt;=1,RIGHT(AD$3,4)&amp;", ","")&amp;IF($AE69&gt;=1,RIGHT(AE$3,4)&amp;", ","")&amp;IF($AF69&gt;=1,RIGHT(AF$3,4)&amp;", ","")&amp;IF($AG69&gt;=1,RIGHT(AG$3,4)&amp;", ","")&amp;IF($AH69&gt;=1,RIGHT(AH$3,4)&amp;", ","")&amp;IF($AI69&gt;=1,RIGHT(AI$3,4)&amp;", ","")&amp;IF($AJ69&gt;=1,RIGHT(AJ$3,4)&amp;", ","")&amp;IF($AK69&gt;=1,RIGHT(AK$3,4)&amp;", ","")&amp;IF($AL69&gt;=1,RIGHT(AL$3,4)&amp;", ","")&amp;IF($AM69&gt;=1,RIGHT(AM$3,4)&amp;", ","")&amp;IF($AN69&gt;=1,RIGHT(AN$3,4)&amp;", ","")&amp;IF($AO69&gt;=1,RIGHT(AO$3,4)&amp;", ","") &amp;IF($AP69&gt;=1,RIGHT(AP$3,4)&amp;", ","") &amp;IF($AQ69&gt;=1,RIGHT(AQ$3,4)&amp;", ","") &amp;IF($AR69&gt;=1,RIGHT(AR$3,4)&amp;", ","") &amp;IF($AS69&gt;=1,RIGHT(AS$3,4)&amp;", ","")&amp;IF($AT69&gt;=1,RIGHT(AT$3,4)&amp;", ","")</f>
        <v xml:space="preserve">2000, 2003, 2004, 2005, 2006, 2007, 2008, 2009, 2010, 2011, 2012, 2013, 2014, 2015, 2016, 2017, 2018, </v>
      </c>
      <c r="AY69" s="29"/>
      <c r="AZ69" s="29"/>
      <c r="BA69" s="29"/>
      <c r="BB69" s="29"/>
    </row>
    <row r="70" spans="1:54" x14ac:dyDescent="0.2">
      <c r="A70" s="24">
        <f t="shared" si="16"/>
        <v>67</v>
      </c>
      <c r="B70" s="25" t="s">
        <v>184</v>
      </c>
      <c r="C70" s="26" t="s">
        <v>185</v>
      </c>
      <c r="D70" s="25" t="s">
        <v>53</v>
      </c>
      <c r="E70" s="25">
        <v>0</v>
      </c>
      <c r="F70" s="25">
        <v>0</v>
      </c>
      <c r="G70" s="25">
        <v>0</v>
      </c>
      <c r="H70" s="25">
        <v>0</v>
      </c>
      <c r="I70" s="25">
        <v>1</v>
      </c>
      <c r="J70" s="25">
        <v>0</v>
      </c>
      <c r="K70" s="25">
        <v>0</v>
      </c>
      <c r="L70" s="25">
        <v>0</v>
      </c>
      <c r="M70" s="25">
        <v>0</v>
      </c>
      <c r="N70" s="25">
        <v>2</v>
      </c>
      <c r="O70" s="25">
        <v>0</v>
      </c>
      <c r="P70" s="25">
        <v>0</v>
      </c>
      <c r="Q70" s="25">
        <v>0</v>
      </c>
      <c r="R70" s="25">
        <v>0</v>
      </c>
      <c r="S70" s="25">
        <v>1</v>
      </c>
      <c r="T70" s="25">
        <v>1</v>
      </c>
      <c r="U70" s="46">
        <v>1</v>
      </c>
      <c r="V70" s="46">
        <v>1</v>
      </c>
      <c r="W70" s="46">
        <v>1</v>
      </c>
      <c r="X70" s="46">
        <v>1</v>
      </c>
      <c r="Y70" s="46">
        <v>1</v>
      </c>
      <c r="Z70" s="46">
        <v>1</v>
      </c>
      <c r="AA70" s="46">
        <v>1</v>
      </c>
      <c r="AB70" s="46">
        <v>1</v>
      </c>
      <c r="AC70" s="46">
        <v>1</v>
      </c>
      <c r="AD70" s="39">
        <v>1</v>
      </c>
      <c r="AE70" s="30">
        <v>1</v>
      </c>
      <c r="AF70" s="30">
        <v>1</v>
      </c>
      <c r="AG70" s="30">
        <v>1</v>
      </c>
      <c r="AH70" s="30">
        <v>1</v>
      </c>
      <c r="AI70" s="30">
        <v>1</v>
      </c>
      <c r="AJ70" s="30">
        <v>1</v>
      </c>
      <c r="AK70" s="30">
        <v>1</v>
      </c>
      <c r="AL70" s="30">
        <v>1</v>
      </c>
      <c r="AM70" s="32">
        <v>0</v>
      </c>
      <c r="AN70" s="36">
        <v>0</v>
      </c>
      <c r="AO70" s="66">
        <v>0</v>
      </c>
      <c r="AP70" s="66">
        <v>0</v>
      </c>
      <c r="AQ70" s="66">
        <v>0</v>
      </c>
      <c r="AR70" s="66"/>
      <c r="AS70" s="66"/>
      <c r="AX70" s="34" t="str">
        <f t="shared" si="17"/>
        <v xml:space="preserve">1988, 1993, 1998, 1999, 2000, 2001, 2002, 2003, 2004, 2005, 2006, 2007, 2008, 2009, 2010, 2011, 2012, 2013, 2014, 2015, 2016, 2017, </v>
      </c>
      <c r="AY70" s="29"/>
      <c r="AZ70" s="29"/>
      <c r="BA70" s="29"/>
      <c r="BB70" s="29"/>
    </row>
    <row r="71" spans="1:54" x14ac:dyDescent="0.2">
      <c r="A71" s="24">
        <f t="shared" si="16"/>
        <v>68</v>
      </c>
      <c r="B71" s="25" t="s">
        <v>186</v>
      </c>
      <c r="C71" s="26" t="s">
        <v>187</v>
      </c>
      <c r="D71" s="25" t="s">
        <v>53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2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46">
        <v>1</v>
      </c>
      <c r="X71" s="25">
        <v>0</v>
      </c>
      <c r="Y71" s="35">
        <v>1</v>
      </c>
      <c r="Z71" s="25">
        <v>0</v>
      </c>
      <c r="AA71" s="25">
        <v>0</v>
      </c>
      <c r="AB71" s="25">
        <v>0</v>
      </c>
      <c r="AC71" s="47">
        <v>1</v>
      </c>
      <c r="AD71" s="28">
        <v>0</v>
      </c>
      <c r="AE71" s="29">
        <v>0</v>
      </c>
      <c r="AF71" s="29">
        <v>0</v>
      </c>
      <c r="AG71" s="30">
        <v>1</v>
      </c>
      <c r="AH71" s="29">
        <v>0</v>
      </c>
      <c r="AI71" s="29">
        <v>0</v>
      </c>
      <c r="AJ71" s="29">
        <v>0</v>
      </c>
      <c r="AK71" s="29">
        <v>0</v>
      </c>
      <c r="AL71" s="29">
        <v>0</v>
      </c>
      <c r="AM71" s="50">
        <v>1</v>
      </c>
      <c r="AN71" s="36">
        <v>0</v>
      </c>
      <c r="AO71" s="66">
        <v>0</v>
      </c>
      <c r="AP71" s="66">
        <v>0</v>
      </c>
      <c r="AQ71" s="66">
        <v>0</v>
      </c>
      <c r="AR71" s="66"/>
      <c r="AS71" s="66"/>
      <c r="AX71" s="34" t="str">
        <f t="shared" si="17"/>
        <v xml:space="preserve">1992, 2002, 2004, 2008, 2012, 2018, </v>
      </c>
      <c r="AY71" s="29"/>
      <c r="AZ71" s="29"/>
      <c r="BA71" s="29"/>
      <c r="BB71" s="29"/>
    </row>
    <row r="72" spans="1:54" x14ac:dyDescent="0.2">
      <c r="A72" s="24">
        <f t="shared" si="16"/>
        <v>69</v>
      </c>
      <c r="B72" s="25" t="s">
        <v>188</v>
      </c>
      <c r="C72" s="26" t="s">
        <v>189</v>
      </c>
      <c r="D72" s="25" t="s">
        <v>53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35">
        <v>1</v>
      </c>
      <c r="Z72" s="25">
        <v>0</v>
      </c>
      <c r="AA72" s="25">
        <v>0</v>
      </c>
      <c r="AB72" s="25">
        <v>0</v>
      </c>
      <c r="AC72" s="27">
        <v>0</v>
      </c>
      <c r="AD72" s="28">
        <v>0</v>
      </c>
      <c r="AE72" s="29">
        <v>0</v>
      </c>
      <c r="AF72" s="30">
        <v>1</v>
      </c>
      <c r="AG72" s="29">
        <v>0</v>
      </c>
      <c r="AH72" s="29">
        <v>0</v>
      </c>
      <c r="AI72" s="29">
        <v>0</v>
      </c>
      <c r="AJ72" s="29">
        <v>0</v>
      </c>
      <c r="AK72" s="29">
        <v>0</v>
      </c>
      <c r="AL72" s="29">
        <v>0</v>
      </c>
      <c r="AM72" s="32">
        <v>0</v>
      </c>
      <c r="AN72" s="36">
        <v>0</v>
      </c>
      <c r="AO72" s="66">
        <v>0</v>
      </c>
      <c r="AP72" s="66">
        <v>0</v>
      </c>
      <c r="AQ72" s="66">
        <v>0</v>
      </c>
      <c r="AR72" s="66"/>
      <c r="AS72" s="66"/>
      <c r="AX72" s="34" t="str">
        <f t="shared" si="17"/>
        <v xml:space="preserve">2004, 2011, </v>
      </c>
      <c r="AY72" s="29"/>
      <c r="AZ72" s="29"/>
      <c r="BA72" s="29"/>
      <c r="BB72" s="29"/>
    </row>
    <row r="73" spans="1:54" x14ac:dyDescent="0.2">
      <c r="A73" s="24">
        <f t="shared" si="16"/>
        <v>70</v>
      </c>
      <c r="B73" s="25" t="s">
        <v>190</v>
      </c>
      <c r="C73" s="26" t="s">
        <v>191</v>
      </c>
      <c r="D73" s="25" t="s">
        <v>53</v>
      </c>
      <c r="E73" s="25">
        <v>0</v>
      </c>
      <c r="F73" s="25">
        <v>0</v>
      </c>
      <c r="G73" s="25">
        <v>1</v>
      </c>
      <c r="H73" s="25">
        <v>1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2</v>
      </c>
      <c r="O73" s="25">
        <v>0</v>
      </c>
      <c r="P73" s="25">
        <v>2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46">
        <v>1</v>
      </c>
      <c r="X73" s="29">
        <v>0</v>
      </c>
      <c r="Y73" s="25">
        <v>0</v>
      </c>
      <c r="Z73" s="25">
        <v>0</v>
      </c>
      <c r="AA73" s="25">
        <v>0</v>
      </c>
      <c r="AB73" s="25">
        <v>0</v>
      </c>
      <c r="AC73" s="27">
        <v>0</v>
      </c>
      <c r="AD73" s="28">
        <v>0</v>
      </c>
      <c r="AE73" s="30">
        <v>1</v>
      </c>
      <c r="AF73" s="30">
        <v>1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  <c r="AL73" s="30">
        <v>1</v>
      </c>
      <c r="AM73" s="32">
        <v>0</v>
      </c>
      <c r="AN73" s="36">
        <v>0</v>
      </c>
      <c r="AO73" s="66">
        <v>0</v>
      </c>
      <c r="AP73" s="66">
        <v>0</v>
      </c>
      <c r="AQ73" s="66">
        <v>0</v>
      </c>
      <c r="AR73" s="66"/>
      <c r="AS73" s="66"/>
      <c r="AX73" s="34" t="str">
        <f t="shared" si="17"/>
        <v xml:space="preserve">1986, 1987, 1993, 1995, 2002, 2010, 2011, 2017, </v>
      </c>
      <c r="AY73" s="29"/>
      <c r="AZ73" s="29"/>
      <c r="BA73" s="29"/>
      <c r="BB73" s="29"/>
    </row>
    <row r="74" spans="1:54" x14ac:dyDescent="0.2">
      <c r="A74" s="24">
        <f t="shared" si="16"/>
        <v>71</v>
      </c>
      <c r="B74" s="25" t="s">
        <v>192</v>
      </c>
      <c r="C74" s="26" t="s">
        <v>193</v>
      </c>
      <c r="D74" s="25" t="s">
        <v>53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46">
        <v>1</v>
      </c>
      <c r="AC74" s="27">
        <v>0</v>
      </c>
      <c r="AD74" s="28">
        <v>0</v>
      </c>
      <c r="AE74" s="29">
        <v>0</v>
      </c>
      <c r="AF74" s="29">
        <v>0</v>
      </c>
      <c r="AG74" s="29">
        <v>0</v>
      </c>
      <c r="AH74" s="29">
        <v>0</v>
      </c>
      <c r="AI74" s="30">
        <v>1</v>
      </c>
      <c r="AJ74" s="29">
        <v>0</v>
      </c>
      <c r="AK74" s="30">
        <v>1</v>
      </c>
      <c r="AL74" s="31">
        <v>0</v>
      </c>
      <c r="AM74" s="32">
        <v>0</v>
      </c>
      <c r="AN74" s="36">
        <v>0</v>
      </c>
      <c r="AO74" s="66">
        <v>0</v>
      </c>
      <c r="AP74" s="66">
        <v>0</v>
      </c>
      <c r="AQ74" s="66">
        <v>0</v>
      </c>
      <c r="AR74" s="66"/>
      <c r="AS74" s="66"/>
      <c r="AX74" s="34" t="str">
        <f t="shared" si="17"/>
        <v xml:space="preserve">2007, 2014, 2016, </v>
      </c>
      <c r="AY74" s="29"/>
      <c r="AZ74" s="29"/>
      <c r="BA74" s="29"/>
      <c r="BB74" s="29"/>
    </row>
    <row r="75" spans="1:54" x14ac:dyDescent="0.2">
      <c r="A75" s="24">
        <f t="shared" si="16"/>
        <v>72</v>
      </c>
      <c r="B75" s="25" t="s">
        <v>194</v>
      </c>
      <c r="C75" s="26" t="s">
        <v>195</v>
      </c>
      <c r="D75" s="25" t="s">
        <v>53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7">
        <v>0</v>
      </c>
      <c r="AD75" s="28">
        <v>0</v>
      </c>
      <c r="AE75" s="29">
        <v>0</v>
      </c>
      <c r="AF75" s="29">
        <v>0</v>
      </c>
      <c r="AG75" s="29">
        <v>0</v>
      </c>
      <c r="AH75" s="29">
        <v>0</v>
      </c>
      <c r="AI75" s="29">
        <v>0</v>
      </c>
      <c r="AJ75" s="29">
        <v>0</v>
      </c>
      <c r="AK75" s="29">
        <v>0</v>
      </c>
      <c r="AL75" s="29">
        <v>0</v>
      </c>
      <c r="AM75" s="32">
        <v>0</v>
      </c>
      <c r="AN75" s="36">
        <v>0</v>
      </c>
      <c r="AO75" s="66">
        <v>0</v>
      </c>
      <c r="AP75" s="66">
        <v>0</v>
      </c>
      <c r="AQ75" s="66">
        <v>0</v>
      </c>
      <c r="AR75" s="66"/>
      <c r="AS75" s="66"/>
      <c r="AX75" s="34" t="str">
        <f t="shared" si="17"/>
        <v/>
      </c>
      <c r="AY75" s="29"/>
      <c r="AZ75" s="29"/>
      <c r="BA75" s="29"/>
      <c r="BB75" s="29"/>
    </row>
    <row r="76" spans="1:54" x14ac:dyDescent="0.2">
      <c r="A76" s="24">
        <f t="shared" si="16"/>
        <v>73</v>
      </c>
      <c r="B76" s="25" t="s">
        <v>196</v>
      </c>
      <c r="C76" s="26" t="s">
        <v>197</v>
      </c>
      <c r="D76" s="25" t="s">
        <v>53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1</v>
      </c>
      <c r="L76" s="25">
        <v>1</v>
      </c>
      <c r="M76" s="25">
        <v>1</v>
      </c>
      <c r="N76" s="25">
        <v>1</v>
      </c>
      <c r="O76" s="25">
        <v>1</v>
      </c>
      <c r="P76" s="25">
        <v>1</v>
      </c>
      <c r="Q76" s="25">
        <v>0</v>
      </c>
      <c r="R76" s="25">
        <v>0</v>
      </c>
      <c r="S76" s="25">
        <v>1</v>
      </c>
      <c r="T76" s="25">
        <v>1</v>
      </c>
      <c r="U76" s="46">
        <v>1</v>
      </c>
      <c r="V76" s="29">
        <v>0</v>
      </c>
      <c r="W76" s="46">
        <v>1</v>
      </c>
      <c r="X76" s="46">
        <v>1</v>
      </c>
      <c r="Y76" s="46">
        <v>1</v>
      </c>
      <c r="Z76" s="46">
        <v>1</v>
      </c>
      <c r="AA76" s="46">
        <v>1</v>
      </c>
      <c r="AB76" s="29">
        <v>0</v>
      </c>
      <c r="AC76" s="46">
        <v>1</v>
      </c>
      <c r="AD76" s="29">
        <v>0</v>
      </c>
      <c r="AE76" s="30">
        <v>1</v>
      </c>
      <c r="AF76" s="30">
        <v>1</v>
      </c>
      <c r="AG76" s="30">
        <v>1</v>
      </c>
      <c r="AH76" s="30">
        <v>1</v>
      </c>
      <c r="AI76" s="30">
        <v>1</v>
      </c>
      <c r="AJ76" s="30">
        <v>1</v>
      </c>
      <c r="AK76" s="30">
        <v>1</v>
      </c>
      <c r="AL76" s="30">
        <v>1</v>
      </c>
      <c r="AM76" s="8">
        <v>1</v>
      </c>
      <c r="AN76" s="36">
        <v>0</v>
      </c>
      <c r="AO76" s="66">
        <v>0</v>
      </c>
      <c r="AP76" s="66">
        <v>0</v>
      </c>
      <c r="AQ76" s="66">
        <v>0</v>
      </c>
      <c r="AR76" s="66"/>
      <c r="AS76" s="66"/>
      <c r="AX76" s="34" t="str">
        <f t="shared" si="17"/>
        <v xml:space="preserve">1990, 1991, 1992, 1993, 1994, 1995, 1998, 1999, 2000, 2002, 2003, 2004, 2005, 2006, 2008, 2010, 2011, 2012, 2013, 2014, 2015, 2016, 2017, 2018, </v>
      </c>
      <c r="AY76" s="29"/>
      <c r="AZ76" s="29"/>
      <c r="BA76" s="29"/>
      <c r="BB76" s="29"/>
    </row>
    <row r="77" spans="1:54" x14ac:dyDescent="0.2">
      <c r="A77" s="24">
        <f t="shared" si="16"/>
        <v>74</v>
      </c>
      <c r="B77" s="25" t="s">
        <v>198</v>
      </c>
      <c r="C77" s="26" t="s">
        <v>199</v>
      </c>
      <c r="D77" s="25" t="s">
        <v>53</v>
      </c>
      <c r="E77" s="25">
        <v>0</v>
      </c>
      <c r="F77" s="25">
        <v>0</v>
      </c>
      <c r="G77" s="25">
        <v>1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8">
        <v>2</v>
      </c>
      <c r="O77" s="25">
        <v>0</v>
      </c>
      <c r="P77" s="25">
        <v>0</v>
      </c>
      <c r="Q77" s="25">
        <v>0</v>
      </c>
      <c r="R77" s="8">
        <v>1</v>
      </c>
      <c r="S77" s="25">
        <v>0</v>
      </c>
      <c r="T77" s="8">
        <v>1</v>
      </c>
      <c r="U77" s="25">
        <v>0</v>
      </c>
      <c r="V77" s="8">
        <v>1</v>
      </c>
      <c r="W77" s="25">
        <v>0</v>
      </c>
      <c r="X77" s="25">
        <v>0</v>
      </c>
      <c r="Y77" s="25">
        <v>0</v>
      </c>
      <c r="Z77" s="51">
        <v>1</v>
      </c>
      <c r="AA77" s="25">
        <v>0</v>
      </c>
      <c r="AB77" s="25">
        <v>0</v>
      </c>
      <c r="AC77" s="27">
        <v>0</v>
      </c>
      <c r="AD77" s="28">
        <v>0</v>
      </c>
      <c r="AE77" s="30">
        <v>1</v>
      </c>
      <c r="AF77" s="25">
        <v>0</v>
      </c>
      <c r="AG77" s="30">
        <v>1</v>
      </c>
      <c r="AH77" s="25">
        <v>0</v>
      </c>
      <c r="AI77" s="29">
        <v>0</v>
      </c>
      <c r="AJ77" s="29">
        <v>0</v>
      </c>
      <c r="AK77" s="29">
        <v>0</v>
      </c>
      <c r="AL77" s="29">
        <v>0</v>
      </c>
      <c r="AM77" s="32">
        <v>0</v>
      </c>
      <c r="AN77" s="36">
        <v>0</v>
      </c>
      <c r="AO77" s="66">
        <v>0</v>
      </c>
      <c r="AP77" s="66">
        <v>0</v>
      </c>
      <c r="AQ77" s="66">
        <v>0</v>
      </c>
      <c r="AR77" s="66"/>
      <c r="AS77" s="66"/>
      <c r="AX77" s="34" t="str">
        <f t="shared" si="17"/>
        <v xml:space="preserve">1986, 1993, 1997, 1999, 2001, 2005, 2010, 2012, </v>
      </c>
      <c r="AY77" s="29"/>
      <c r="AZ77" s="29"/>
      <c r="BA77" s="29"/>
      <c r="BB77" s="29"/>
    </row>
    <row r="78" spans="1:54" x14ac:dyDescent="0.2">
      <c r="A78" s="24">
        <f t="shared" si="16"/>
        <v>75</v>
      </c>
      <c r="B78" s="25" t="s">
        <v>200</v>
      </c>
      <c r="C78" s="34" t="s">
        <v>201</v>
      </c>
      <c r="D78" s="25" t="s">
        <v>53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1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51">
        <v>1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51">
        <v>1</v>
      </c>
      <c r="Z78" s="51">
        <v>1</v>
      </c>
      <c r="AA78" s="25">
        <v>0</v>
      </c>
      <c r="AB78" s="25">
        <v>0</v>
      </c>
      <c r="AC78" s="27">
        <v>0</v>
      </c>
      <c r="AD78" s="52">
        <v>0</v>
      </c>
      <c r="AE78" s="30">
        <v>2</v>
      </c>
      <c r="AF78" s="14">
        <v>0</v>
      </c>
      <c r="AG78" s="29">
        <v>0</v>
      </c>
      <c r="AH78" s="25">
        <v>1</v>
      </c>
      <c r="AI78" s="29">
        <v>0</v>
      </c>
      <c r="AJ78" s="29">
        <v>0</v>
      </c>
      <c r="AK78" s="30">
        <v>1</v>
      </c>
      <c r="AL78" s="25"/>
      <c r="AM78" s="32">
        <v>0</v>
      </c>
      <c r="AN78" s="33">
        <v>1</v>
      </c>
      <c r="AO78" s="66">
        <v>0</v>
      </c>
      <c r="AP78" s="66">
        <v>0</v>
      </c>
      <c r="AQ78" s="66">
        <v>0</v>
      </c>
      <c r="AR78" s="66"/>
      <c r="AS78" s="66"/>
      <c r="AX78" s="34" t="str">
        <f t="shared" si="17"/>
        <v xml:space="preserve">1990, 1997, 2004, 2005, 2010, 2013, 2016, 2019, </v>
      </c>
      <c r="AY78" s="29"/>
      <c r="AZ78" s="29"/>
      <c r="BA78" s="29"/>
      <c r="BB78" s="29"/>
    </row>
    <row r="79" spans="1:54" x14ac:dyDescent="0.2">
      <c r="A79" s="24">
        <f t="shared" si="16"/>
        <v>76</v>
      </c>
      <c r="B79" s="25" t="s">
        <v>202</v>
      </c>
      <c r="C79" s="26" t="s">
        <v>203</v>
      </c>
      <c r="D79" s="25" t="s">
        <v>53</v>
      </c>
      <c r="E79" s="25">
        <v>0</v>
      </c>
      <c r="F79" s="25">
        <v>0</v>
      </c>
      <c r="G79" s="25">
        <v>0</v>
      </c>
      <c r="H79" s="25">
        <v>2</v>
      </c>
      <c r="I79" s="25">
        <v>1</v>
      </c>
      <c r="J79" s="25">
        <v>2</v>
      </c>
      <c r="K79" s="25">
        <v>0</v>
      </c>
      <c r="L79" s="25">
        <v>1</v>
      </c>
      <c r="M79" s="25">
        <v>1</v>
      </c>
      <c r="N79" s="25">
        <v>0</v>
      </c>
      <c r="O79" s="25">
        <v>0</v>
      </c>
      <c r="P79" s="25">
        <v>2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31">
        <v>0</v>
      </c>
      <c r="Z79" s="25">
        <v>0</v>
      </c>
      <c r="AA79" s="25">
        <v>0</v>
      </c>
      <c r="AB79" s="31">
        <v>0</v>
      </c>
      <c r="AC79" s="71">
        <v>0</v>
      </c>
      <c r="AD79" s="53">
        <v>2</v>
      </c>
      <c r="AE79" s="29">
        <v>0</v>
      </c>
      <c r="AF79" s="29">
        <v>0</v>
      </c>
      <c r="AG79" s="30">
        <v>1</v>
      </c>
      <c r="AH79" s="29">
        <v>0</v>
      </c>
      <c r="AI79" s="30">
        <v>1</v>
      </c>
      <c r="AJ79" s="29">
        <v>0</v>
      </c>
      <c r="AK79" s="30">
        <v>1</v>
      </c>
      <c r="AL79" s="29">
        <v>0</v>
      </c>
      <c r="AM79" s="32">
        <v>0</v>
      </c>
      <c r="AN79" s="33">
        <v>1</v>
      </c>
      <c r="AO79" s="66">
        <v>0</v>
      </c>
      <c r="AP79" s="66">
        <v>0</v>
      </c>
      <c r="AQ79" s="66">
        <v>0</v>
      </c>
      <c r="AR79" s="66"/>
      <c r="AS79" s="66"/>
      <c r="AX79" s="34" t="str">
        <f t="shared" si="17"/>
        <v xml:space="preserve">1987, 1988, 1989, 1991, 1992, 1995, 2009, 2012, 2014, 2016, 2019, </v>
      </c>
      <c r="AY79" s="29"/>
      <c r="AZ79" s="29"/>
      <c r="BA79" s="29"/>
      <c r="BB79" s="29"/>
    </row>
    <row r="80" spans="1:54" x14ac:dyDescent="0.2">
      <c r="A80" s="24">
        <f t="shared" si="16"/>
        <v>77</v>
      </c>
      <c r="B80" s="25" t="s">
        <v>204</v>
      </c>
      <c r="C80" s="26" t="s">
        <v>205</v>
      </c>
      <c r="D80" s="25" t="s">
        <v>53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51">
        <v>1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7">
        <v>0</v>
      </c>
      <c r="AD80" s="39">
        <v>1</v>
      </c>
      <c r="AE80" s="29">
        <v>0</v>
      </c>
      <c r="AF80" s="29">
        <v>0</v>
      </c>
      <c r="AG80" s="29">
        <v>0</v>
      </c>
      <c r="AH80" s="29">
        <v>0</v>
      </c>
      <c r="AI80" s="29">
        <v>0</v>
      </c>
      <c r="AJ80" s="29">
        <v>0</v>
      </c>
      <c r="AK80" s="30">
        <v>1</v>
      </c>
      <c r="AL80" s="29">
        <v>0</v>
      </c>
      <c r="AM80" s="32">
        <v>0</v>
      </c>
      <c r="AN80" s="33">
        <v>1</v>
      </c>
      <c r="AO80" s="66">
        <v>0</v>
      </c>
      <c r="AP80" s="66">
        <v>0</v>
      </c>
      <c r="AQ80" s="66">
        <v>0</v>
      </c>
      <c r="AR80" s="66"/>
      <c r="AS80" s="66"/>
      <c r="AX80" s="34" t="str">
        <f t="shared" si="17"/>
        <v xml:space="preserve">2002, 2009, 2016, 2019, </v>
      </c>
      <c r="AY80" s="29"/>
      <c r="AZ80" s="29"/>
      <c r="BA80" s="29"/>
      <c r="BB80" s="29"/>
    </row>
    <row r="81" spans="1:54" x14ac:dyDescent="0.2">
      <c r="A81" s="24">
        <f t="shared" si="16"/>
        <v>78</v>
      </c>
      <c r="B81" s="25" t="s">
        <v>206</v>
      </c>
      <c r="C81" s="34" t="s">
        <v>207</v>
      </c>
      <c r="D81" s="25" t="s">
        <v>53</v>
      </c>
      <c r="E81" s="25">
        <v>0</v>
      </c>
      <c r="F81" s="25">
        <v>0.5</v>
      </c>
      <c r="G81" s="25">
        <v>0</v>
      </c>
      <c r="H81" s="25">
        <v>0</v>
      </c>
      <c r="I81" s="25">
        <v>1</v>
      </c>
      <c r="J81" s="25">
        <v>1</v>
      </c>
      <c r="K81" s="25">
        <v>0</v>
      </c>
      <c r="L81" s="25">
        <v>0</v>
      </c>
      <c r="M81" s="25">
        <v>0</v>
      </c>
      <c r="N81" s="25">
        <v>0</v>
      </c>
      <c r="O81" s="25">
        <v>2</v>
      </c>
      <c r="P81" s="25">
        <v>0</v>
      </c>
      <c r="Q81" s="31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51">
        <v>1</v>
      </c>
      <c r="Z81" s="25">
        <v>0</v>
      </c>
      <c r="AA81" s="51">
        <v>1</v>
      </c>
      <c r="AB81" s="51">
        <v>1</v>
      </c>
      <c r="AC81" s="27">
        <v>0</v>
      </c>
      <c r="AD81" s="39">
        <v>1</v>
      </c>
      <c r="AE81" s="51">
        <v>1</v>
      </c>
      <c r="AF81" s="30">
        <v>1</v>
      </c>
      <c r="AG81" s="25">
        <v>0</v>
      </c>
      <c r="AH81" s="30">
        <v>1</v>
      </c>
      <c r="AI81" s="30">
        <v>1</v>
      </c>
      <c r="AJ81" s="30">
        <v>1</v>
      </c>
      <c r="AK81" s="30">
        <v>1</v>
      </c>
      <c r="AL81" s="30">
        <v>1</v>
      </c>
      <c r="AM81" s="37">
        <v>1</v>
      </c>
      <c r="AN81" s="36">
        <v>0</v>
      </c>
      <c r="AO81" s="66">
        <v>0</v>
      </c>
      <c r="AP81" s="66">
        <v>0</v>
      </c>
      <c r="AQ81" s="66">
        <v>0</v>
      </c>
      <c r="AR81" s="66"/>
      <c r="AS81" s="66"/>
      <c r="AX81" s="34" t="str">
        <f t="shared" si="17"/>
        <v xml:space="preserve">1988, 1989, 1994, 2004, 2006, 2007, 2009, 2010, 2011, 2013, 2014, 2015, 2016, 2017, 2018, </v>
      </c>
      <c r="AY81" s="29"/>
      <c r="AZ81" s="29"/>
      <c r="BA81" s="29"/>
      <c r="BB81" s="29"/>
    </row>
    <row r="82" spans="1:54" x14ac:dyDescent="0.2">
      <c r="A82" s="24">
        <f t="shared" si="16"/>
        <v>79</v>
      </c>
      <c r="B82" s="25" t="s">
        <v>208</v>
      </c>
      <c r="C82" s="26" t="s">
        <v>209</v>
      </c>
      <c r="D82" s="25" t="s">
        <v>53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51">
        <v>1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7">
        <v>0</v>
      </c>
      <c r="AD82" s="28">
        <v>0</v>
      </c>
      <c r="AE82" s="29">
        <v>0</v>
      </c>
      <c r="AF82" s="29">
        <v>0</v>
      </c>
      <c r="AG82" s="29">
        <v>0</v>
      </c>
      <c r="AH82" s="29">
        <v>0</v>
      </c>
      <c r="AI82" s="29">
        <v>0</v>
      </c>
      <c r="AJ82" s="29">
        <v>0</v>
      </c>
      <c r="AK82" s="29">
        <v>0</v>
      </c>
      <c r="AL82" s="29">
        <v>0</v>
      </c>
      <c r="AM82" s="32">
        <v>0</v>
      </c>
      <c r="AN82" s="33">
        <v>1</v>
      </c>
      <c r="AO82" s="66">
        <v>0</v>
      </c>
      <c r="AP82" s="66">
        <v>0</v>
      </c>
      <c r="AQ82" s="66">
        <v>0</v>
      </c>
      <c r="AR82" s="66"/>
      <c r="AS82" s="66"/>
      <c r="AX82" s="34" t="str">
        <f t="shared" si="17"/>
        <v xml:space="preserve">2002, 2019, </v>
      </c>
      <c r="AY82" s="29"/>
      <c r="AZ82" s="29"/>
      <c r="BA82" s="29"/>
      <c r="BB82" s="29"/>
    </row>
    <row r="83" spans="1:54" x14ac:dyDescent="0.2">
      <c r="A83" s="24">
        <f t="shared" si="16"/>
        <v>80</v>
      </c>
      <c r="B83" s="25" t="s">
        <v>210</v>
      </c>
      <c r="C83" s="26" t="s">
        <v>211</v>
      </c>
      <c r="D83" s="25" t="s">
        <v>53</v>
      </c>
      <c r="E83" s="25">
        <v>0</v>
      </c>
      <c r="F83" s="25">
        <v>0</v>
      </c>
      <c r="G83" s="25">
        <v>0</v>
      </c>
      <c r="H83" s="25">
        <v>2</v>
      </c>
      <c r="I83" s="25">
        <v>0</v>
      </c>
      <c r="J83" s="25">
        <v>1</v>
      </c>
      <c r="K83" s="25">
        <v>0</v>
      </c>
      <c r="L83" s="25">
        <v>0</v>
      </c>
      <c r="M83" s="25">
        <v>1</v>
      </c>
      <c r="N83" s="25">
        <v>1</v>
      </c>
      <c r="O83" s="25">
        <v>0</v>
      </c>
      <c r="P83" s="25">
        <v>1</v>
      </c>
      <c r="Q83" s="25">
        <v>0</v>
      </c>
      <c r="R83" s="25">
        <v>0</v>
      </c>
      <c r="S83" s="25">
        <v>0</v>
      </c>
      <c r="T83" s="25">
        <v>0</v>
      </c>
      <c r="U83" s="54">
        <v>1</v>
      </c>
      <c r="V83" s="25">
        <v>0</v>
      </c>
      <c r="W83" s="25">
        <v>0</v>
      </c>
      <c r="X83" s="25">
        <v>0</v>
      </c>
      <c r="Y83" s="54">
        <v>1</v>
      </c>
      <c r="Z83" s="25">
        <v>0</v>
      </c>
      <c r="AA83" s="25">
        <v>0</v>
      </c>
      <c r="AB83" s="25">
        <v>0</v>
      </c>
      <c r="AC83" s="54">
        <v>1</v>
      </c>
      <c r="AD83" s="28">
        <v>0</v>
      </c>
      <c r="AE83" s="29">
        <v>0</v>
      </c>
      <c r="AF83" s="29">
        <v>0</v>
      </c>
      <c r="AG83" s="29">
        <v>0</v>
      </c>
      <c r="AH83" s="29">
        <v>0</v>
      </c>
      <c r="AI83" s="30">
        <v>1</v>
      </c>
      <c r="AJ83" s="29">
        <v>0</v>
      </c>
      <c r="AK83" s="29">
        <v>0</v>
      </c>
      <c r="AL83" s="29">
        <v>0</v>
      </c>
      <c r="AM83" s="32">
        <v>0</v>
      </c>
      <c r="AN83" s="33">
        <v>1</v>
      </c>
      <c r="AO83" s="66">
        <v>0</v>
      </c>
      <c r="AP83" s="66">
        <v>0</v>
      </c>
      <c r="AQ83" s="66">
        <v>0</v>
      </c>
      <c r="AR83" s="66"/>
      <c r="AS83" s="66"/>
      <c r="AX83" s="34" t="str">
        <f t="shared" si="17"/>
        <v xml:space="preserve">1987, 1989, 1992, 1993, 1995, 2000, 2004, 2008, 2014, 2019, </v>
      </c>
      <c r="AY83" s="29"/>
      <c r="AZ83" s="29"/>
      <c r="BA83" s="29"/>
      <c r="BB83" s="29"/>
    </row>
    <row r="84" spans="1:54" x14ac:dyDescent="0.2">
      <c r="A84" s="24">
        <f t="shared" si="16"/>
        <v>81</v>
      </c>
      <c r="B84" s="25" t="s">
        <v>212</v>
      </c>
      <c r="C84" s="26" t="s">
        <v>213</v>
      </c>
      <c r="D84" s="25" t="s">
        <v>53</v>
      </c>
      <c r="E84" s="25">
        <v>0</v>
      </c>
      <c r="F84" s="25">
        <v>0</v>
      </c>
      <c r="G84" s="25">
        <v>1</v>
      </c>
      <c r="H84" s="25">
        <v>0</v>
      </c>
      <c r="I84" s="25">
        <v>0</v>
      </c>
      <c r="J84" s="25">
        <v>0</v>
      </c>
      <c r="K84" s="25">
        <v>0</v>
      </c>
      <c r="L84" s="25">
        <v>1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51">
        <v>1</v>
      </c>
      <c r="Y84" s="51">
        <v>1</v>
      </c>
      <c r="Z84" s="51">
        <v>1</v>
      </c>
      <c r="AA84" s="51">
        <v>1</v>
      </c>
      <c r="AB84" s="51">
        <v>1</v>
      </c>
      <c r="AC84" s="54">
        <v>1</v>
      </c>
      <c r="AD84" s="53">
        <v>1</v>
      </c>
      <c r="AE84" s="51">
        <v>1</v>
      </c>
      <c r="AF84" s="51">
        <v>1</v>
      </c>
      <c r="AG84" s="30">
        <v>1</v>
      </c>
      <c r="AH84" s="51">
        <v>1</v>
      </c>
      <c r="AI84" s="49">
        <v>1</v>
      </c>
      <c r="AJ84" s="49">
        <v>1</v>
      </c>
      <c r="AK84" s="49">
        <v>1</v>
      </c>
      <c r="AL84" s="30">
        <v>1</v>
      </c>
      <c r="AM84" s="51">
        <v>1</v>
      </c>
      <c r="AN84" s="50">
        <v>1</v>
      </c>
      <c r="AO84" s="66">
        <v>0</v>
      </c>
      <c r="AP84" s="66">
        <v>0</v>
      </c>
      <c r="AQ84" s="66">
        <v>0</v>
      </c>
      <c r="AR84" s="66"/>
      <c r="AS84" s="66"/>
      <c r="AX84" s="34" t="str">
        <f t="shared" si="17"/>
        <v xml:space="preserve">1986, 1991, 2003, 2004, 2005, 2006, 2007, 2008, 2009, 2010, 2011, 2012, 2013, 2014, 2015, 2016, 2017, 2018, 2019, </v>
      </c>
      <c r="AY84" s="29"/>
      <c r="AZ84" s="29"/>
      <c r="BA84" s="29"/>
      <c r="BB84" s="29"/>
    </row>
    <row r="85" spans="1:54" x14ac:dyDescent="0.2">
      <c r="A85" s="24">
        <f t="shared" si="16"/>
        <v>82</v>
      </c>
      <c r="B85" s="25" t="s">
        <v>214</v>
      </c>
      <c r="C85" s="26" t="s">
        <v>215</v>
      </c>
      <c r="D85" s="25" t="s">
        <v>53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2</v>
      </c>
      <c r="K85" s="25">
        <v>0</v>
      </c>
      <c r="L85" s="25">
        <v>0</v>
      </c>
      <c r="M85" s="25">
        <v>2</v>
      </c>
      <c r="N85" s="25">
        <v>0</v>
      </c>
      <c r="O85" s="25">
        <v>1</v>
      </c>
      <c r="P85" s="25">
        <v>2</v>
      </c>
      <c r="Q85" s="25">
        <v>1</v>
      </c>
      <c r="R85" s="25">
        <v>0</v>
      </c>
      <c r="S85" s="25">
        <v>1</v>
      </c>
      <c r="T85" s="25">
        <v>0</v>
      </c>
      <c r="U85" s="30">
        <v>1</v>
      </c>
      <c r="V85" s="25">
        <v>0</v>
      </c>
      <c r="W85" s="30">
        <v>1</v>
      </c>
      <c r="X85" s="25">
        <v>0</v>
      </c>
      <c r="Y85" s="30">
        <v>1</v>
      </c>
      <c r="Z85" s="30">
        <v>1</v>
      </c>
      <c r="AA85" s="30">
        <v>1</v>
      </c>
      <c r="AB85" s="25">
        <v>0</v>
      </c>
      <c r="AC85" s="54">
        <v>1</v>
      </c>
      <c r="AD85" s="28">
        <v>0</v>
      </c>
      <c r="AE85" s="30">
        <v>1</v>
      </c>
      <c r="AF85" s="29">
        <v>0</v>
      </c>
      <c r="AG85" s="30">
        <v>1</v>
      </c>
      <c r="AH85" s="29">
        <v>0</v>
      </c>
      <c r="AI85" s="30">
        <v>1</v>
      </c>
      <c r="AJ85" s="29">
        <v>0</v>
      </c>
      <c r="AK85" s="30">
        <v>1</v>
      </c>
      <c r="AL85" s="29">
        <v>0</v>
      </c>
      <c r="AM85" s="44">
        <v>1</v>
      </c>
      <c r="AN85" s="36">
        <v>0</v>
      </c>
      <c r="AO85" s="66">
        <v>0</v>
      </c>
      <c r="AP85" s="66">
        <v>0</v>
      </c>
      <c r="AQ85" s="66">
        <v>0</v>
      </c>
      <c r="AR85" s="66"/>
      <c r="AS85" s="66"/>
      <c r="AX85" s="34" t="str">
        <f t="shared" si="17"/>
        <v xml:space="preserve">1989, 1992, 1994, 1995, 1996, 1998, 2000, 2002, 2004, 2005, 2006, 2008, 2010, 2012, 2014, 2016, 2018, </v>
      </c>
      <c r="AY85" s="29"/>
      <c r="AZ85" s="29"/>
      <c r="BA85" s="29"/>
      <c r="BB85" s="29"/>
    </row>
    <row r="86" spans="1:54" x14ac:dyDescent="0.2">
      <c r="A86" s="24">
        <f t="shared" si="16"/>
        <v>83</v>
      </c>
      <c r="B86" s="25" t="s">
        <v>216</v>
      </c>
      <c r="C86" s="26" t="s">
        <v>217</v>
      </c>
      <c r="D86" s="25" t="s">
        <v>53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0</v>
      </c>
      <c r="V86" s="25">
        <v>0</v>
      </c>
      <c r="W86" s="25">
        <v>0</v>
      </c>
      <c r="X86" s="25">
        <v>0</v>
      </c>
      <c r="Y86" s="25">
        <v>0</v>
      </c>
      <c r="Z86" s="51">
        <v>1</v>
      </c>
      <c r="AA86" s="25">
        <v>0</v>
      </c>
      <c r="AB86" s="25">
        <v>0</v>
      </c>
      <c r="AC86" s="27">
        <v>0</v>
      </c>
      <c r="AD86" s="28">
        <v>0</v>
      </c>
      <c r="AE86" s="29">
        <v>0</v>
      </c>
      <c r="AF86" s="29">
        <v>0</v>
      </c>
      <c r="AG86" s="29">
        <v>0</v>
      </c>
      <c r="AH86" s="30">
        <v>1</v>
      </c>
      <c r="AI86" s="25">
        <v>0</v>
      </c>
      <c r="AJ86" s="29">
        <v>0</v>
      </c>
      <c r="AK86" s="29">
        <v>0</v>
      </c>
      <c r="AL86" s="29">
        <v>0</v>
      </c>
      <c r="AM86" s="32">
        <v>0</v>
      </c>
      <c r="AN86" s="33">
        <v>1</v>
      </c>
      <c r="AO86" s="66">
        <v>0</v>
      </c>
      <c r="AP86" s="66">
        <v>0</v>
      </c>
      <c r="AQ86" s="66">
        <v>0</v>
      </c>
      <c r="AR86" s="66"/>
      <c r="AS86" s="66"/>
      <c r="AX86" s="34" t="str">
        <f t="shared" si="17"/>
        <v xml:space="preserve">2005, 2013, 2019, </v>
      </c>
      <c r="AY86" s="29"/>
      <c r="AZ86" s="29"/>
      <c r="BA86" s="29"/>
      <c r="BB86" s="29"/>
    </row>
    <row r="87" spans="1:54" x14ac:dyDescent="0.2">
      <c r="A87" s="24">
        <f t="shared" si="16"/>
        <v>84</v>
      </c>
      <c r="B87" s="25" t="s">
        <v>218</v>
      </c>
      <c r="C87" s="26" t="s">
        <v>219</v>
      </c>
      <c r="D87" s="25" t="s">
        <v>53</v>
      </c>
      <c r="E87" s="25">
        <v>0</v>
      </c>
      <c r="F87" s="25">
        <v>0</v>
      </c>
      <c r="G87" s="25">
        <v>0</v>
      </c>
      <c r="H87" s="25">
        <v>0</v>
      </c>
      <c r="I87" s="25">
        <v>1</v>
      </c>
      <c r="J87" s="25">
        <v>0</v>
      </c>
      <c r="K87" s="25">
        <v>0</v>
      </c>
      <c r="L87" s="25">
        <v>0</v>
      </c>
      <c r="M87" s="25">
        <v>1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1</v>
      </c>
      <c r="T87" s="25">
        <v>1</v>
      </c>
      <c r="U87" s="39">
        <v>1</v>
      </c>
      <c r="V87" s="39">
        <v>1</v>
      </c>
      <c r="W87" s="39">
        <v>1</v>
      </c>
      <c r="X87" s="39">
        <v>1</v>
      </c>
      <c r="Y87" s="39">
        <v>1</v>
      </c>
      <c r="Z87" s="39">
        <v>1</v>
      </c>
      <c r="AA87" s="39">
        <v>1</v>
      </c>
      <c r="AB87" s="39">
        <v>1</v>
      </c>
      <c r="AC87" s="39">
        <v>1</v>
      </c>
      <c r="AD87" s="39">
        <v>1</v>
      </c>
      <c r="AE87" s="30">
        <v>1</v>
      </c>
      <c r="AF87" s="30">
        <v>1</v>
      </c>
      <c r="AG87" s="30">
        <v>1</v>
      </c>
      <c r="AH87" s="30">
        <v>1</v>
      </c>
      <c r="AI87" s="30">
        <v>1</v>
      </c>
      <c r="AJ87" s="30">
        <v>1</v>
      </c>
      <c r="AK87" s="30">
        <v>1</v>
      </c>
      <c r="AL87" s="30">
        <v>1</v>
      </c>
      <c r="AM87" s="32">
        <v>0</v>
      </c>
      <c r="AN87" s="50">
        <v>1</v>
      </c>
      <c r="AO87" s="66">
        <v>1</v>
      </c>
      <c r="AP87" s="66">
        <v>1</v>
      </c>
      <c r="AQ87" s="66">
        <v>1</v>
      </c>
      <c r="AR87" s="66"/>
      <c r="AS87" s="66"/>
      <c r="AX87" s="34" t="str">
        <f t="shared" si="17"/>
        <v xml:space="preserve">1988, 1992, 1998, 1999, 2000, 2001, 2002, 2003, 2004, 2005, 2006, 2007, 2008, 2009, 2010, 2011, 2012, 2013, 2014, 2015, 2016, 2017, 2019, 2020, 2021, 2022, </v>
      </c>
      <c r="AY87" s="29"/>
      <c r="AZ87" s="29"/>
      <c r="BA87" s="29"/>
      <c r="BB87" s="29"/>
    </row>
    <row r="88" spans="1:54" x14ac:dyDescent="0.2">
      <c r="A88" s="24">
        <f t="shared" si="16"/>
        <v>85</v>
      </c>
      <c r="B88" s="25" t="s">
        <v>220</v>
      </c>
      <c r="C88" s="26" t="s">
        <v>221</v>
      </c>
      <c r="D88" s="25" t="s">
        <v>53</v>
      </c>
      <c r="E88" s="25">
        <v>0</v>
      </c>
      <c r="F88" s="25">
        <v>0</v>
      </c>
      <c r="G88" s="25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1</v>
      </c>
      <c r="N88" s="25">
        <v>1</v>
      </c>
      <c r="O88" s="25">
        <v>1</v>
      </c>
      <c r="P88" s="25">
        <v>2</v>
      </c>
      <c r="Q88" s="25">
        <v>0</v>
      </c>
      <c r="R88" s="25">
        <v>0</v>
      </c>
      <c r="S88" s="25">
        <v>1</v>
      </c>
      <c r="T88" s="25">
        <v>0</v>
      </c>
      <c r="U88" s="25">
        <v>0</v>
      </c>
      <c r="V88" s="25">
        <v>0</v>
      </c>
      <c r="W88" s="54">
        <v>1</v>
      </c>
      <c r="X88" s="25">
        <v>0</v>
      </c>
      <c r="Y88" s="25">
        <v>0</v>
      </c>
      <c r="Z88" s="39">
        <v>1</v>
      </c>
      <c r="AA88" s="25">
        <v>0</v>
      </c>
      <c r="AB88" s="54">
        <v>1</v>
      </c>
      <c r="AC88" s="54">
        <v>1</v>
      </c>
      <c r="AD88" s="52">
        <v>0</v>
      </c>
      <c r="AE88" s="30">
        <v>1</v>
      </c>
      <c r="AF88" s="30">
        <v>1</v>
      </c>
      <c r="AG88" s="30">
        <v>1</v>
      </c>
      <c r="AH88" s="29">
        <v>0</v>
      </c>
      <c r="AI88" s="30">
        <v>1</v>
      </c>
      <c r="AJ88" s="29">
        <v>0</v>
      </c>
      <c r="AK88" s="30">
        <v>1</v>
      </c>
      <c r="AL88" s="29">
        <v>0</v>
      </c>
      <c r="AM88" s="37">
        <v>1</v>
      </c>
      <c r="AN88" s="36">
        <v>0</v>
      </c>
      <c r="AO88" s="66">
        <v>0</v>
      </c>
      <c r="AP88" s="66">
        <v>0</v>
      </c>
      <c r="AQ88" s="66">
        <v>0</v>
      </c>
      <c r="AR88" s="66"/>
      <c r="AS88" s="66"/>
      <c r="AX88" s="34" t="str">
        <f t="shared" si="17"/>
        <v xml:space="preserve">1992, 1993, 1994, 1995, 1998, 2002, 2005, 2007, 2008, 2010, 2011, 2012, 2014, 2016, 2018, </v>
      </c>
      <c r="AY88" s="29"/>
      <c r="AZ88" s="29"/>
      <c r="BA88" s="29"/>
      <c r="BB88" s="29"/>
    </row>
    <row r="89" spans="1:54" x14ac:dyDescent="0.2">
      <c r="A89" s="24">
        <f t="shared" si="16"/>
        <v>86</v>
      </c>
      <c r="B89" s="25" t="s">
        <v>222</v>
      </c>
      <c r="C89" s="55" t="s">
        <v>223</v>
      </c>
      <c r="D89" s="25" t="s">
        <v>53</v>
      </c>
      <c r="E89" s="25">
        <v>0</v>
      </c>
      <c r="F89" s="25">
        <v>0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54">
        <v>1</v>
      </c>
      <c r="Z89" s="39">
        <v>1</v>
      </c>
      <c r="AA89" s="39">
        <v>1</v>
      </c>
      <c r="AB89" s="39">
        <v>1</v>
      </c>
      <c r="AC89" s="39">
        <v>1</v>
      </c>
      <c r="AD89" s="39">
        <v>1</v>
      </c>
      <c r="AE89" s="30">
        <v>1</v>
      </c>
      <c r="AF89" s="30">
        <v>1</v>
      </c>
      <c r="AG89" s="30">
        <v>1</v>
      </c>
      <c r="AH89" s="30">
        <v>2</v>
      </c>
      <c r="AI89" s="30">
        <v>1</v>
      </c>
      <c r="AJ89" s="51">
        <v>1</v>
      </c>
      <c r="AK89" s="30">
        <v>1</v>
      </c>
      <c r="AL89" s="49">
        <v>1</v>
      </c>
      <c r="AM89" s="56">
        <v>1</v>
      </c>
      <c r="AN89" s="56">
        <v>1</v>
      </c>
      <c r="AO89" s="66">
        <v>1</v>
      </c>
      <c r="AP89" s="66">
        <v>1</v>
      </c>
      <c r="AQ89" s="66">
        <v>1</v>
      </c>
      <c r="AR89" s="66"/>
      <c r="AS89" s="66"/>
      <c r="AX89" s="34" t="str">
        <f t="shared" si="17"/>
        <v xml:space="preserve">2004, 2005, 2006, 2007, 2008, 2009, 2010, 2011, 2012, 2013, 2014, 2015, 2016, 2017, 2018, 2019, 2020, 2021, 2022, </v>
      </c>
      <c r="AY89" s="29"/>
      <c r="AZ89" s="29"/>
      <c r="BA89" s="29"/>
      <c r="BB89" s="29"/>
    </row>
    <row r="90" spans="1:54" x14ac:dyDescent="0.2">
      <c r="A90" s="24">
        <f t="shared" si="16"/>
        <v>87</v>
      </c>
      <c r="B90" s="25" t="s">
        <v>224</v>
      </c>
      <c r="C90" s="26" t="s">
        <v>225</v>
      </c>
      <c r="D90" s="25" t="s">
        <v>53</v>
      </c>
      <c r="E90" s="25">
        <v>0</v>
      </c>
      <c r="F90" s="25">
        <v>1</v>
      </c>
      <c r="G90" s="25">
        <v>0</v>
      </c>
      <c r="H90" s="25">
        <v>0</v>
      </c>
      <c r="I90" s="25">
        <v>0</v>
      </c>
      <c r="J90" s="25">
        <v>0</v>
      </c>
      <c r="K90" s="25">
        <v>1</v>
      </c>
      <c r="L90" s="25">
        <v>1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>
        <v>1</v>
      </c>
      <c r="T90" s="25">
        <v>0</v>
      </c>
      <c r="U90" s="39">
        <v>1</v>
      </c>
      <c r="V90" s="25">
        <v>0</v>
      </c>
      <c r="W90" s="25">
        <v>0</v>
      </c>
      <c r="X90" s="25">
        <v>0</v>
      </c>
      <c r="Y90" s="25">
        <v>0</v>
      </c>
      <c r="Z90" s="25">
        <v>0</v>
      </c>
      <c r="AA90" s="39">
        <v>1</v>
      </c>
      <c r="AB90" s="25">
        <v>0</v>
      </c>
      <c r="AC90" s="27">
        <v>0</v>
      </c>
      <c r="AD90" s="41">
        <v>1</v>
      </c>
      <c r="AE90" s="29">
        <v>0</v>
      </c>
      <c r="AF90" s="35">
        <v>1</v>
      </c>
      <c r="AG90" s="29">
        <v>0</v>
      </c>
      <c r="AH90" s="30">
        <v>1</v>
      </c>
      <c r="AI90" s="29">
        <v>0</v>
      </c>
      <c r="AJ90" s="29">
        <v>0</v>
      </c>
      <c r="AK90" s="29">
        <v>0</v>
      </c>
      <c r="AL90" s="29">
        <v>0</v>
      </c>
      <c r="AM90" s="32">
        <v>0</v>
      </c>
      <c r="AN90" s="36">
        <v>0</v>
      </c>
      <c r="AO90" s="66">
        <v>0</v>
      </c>
      <c r="AP90" s="66">
        <v>0</v>
      </c>
      <c r="AQ90" s="66">
        <v>0</v>
      </c>
      <c r="AR90" s="66"/>
      <c r="AS90" s="66"/>
      <c r="AX90" s="34" t="str">
        <f t="shared" si="17"/>
        <v xml:space="preserve">1985, 1990, 1991, 1998, 2000, 2006, 2009, 2011, 2013, </v>
      </c>
      <c r="AY90" s="29"/>
      <c r="AZ90" s="29"/>
      <c r="BA90" s="29"/>
      <c r="BB90" s="29"/>
    </row>
    <row r="91" spans="1:54" x14ac:dyDescent="0.2">
      <c r="A91" s="24">
        <f t="shared" si="16"/>
        <v>88</v>
      </c>
      <c r="B91" s="25" t="s">
        <v>226</v>
      </c>
      <c r="C91" s="34" t="s">
        <v>227</v>
      </c>
      <c r="D91" s="25" t="s">
        <v>53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5">
        <v>1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5">
        <v>0</v>
      </c>
      <c r="V91" s="25">
        <v>0</v>
      </c>
      <c r="W91" s="39">
        <v>1</v>
      </c>
      <c r="X91" s="25">
        <v>0</v>
      </c>
      <c r="Y91" s="25">
        <v>0</v>
      </c>
      <c r="Z91" s="25">
        <v>0</v>
      </c>
      <c r="AA91" s="25">
        <v>0</v>
      </c>
      <c r="AB91" s="25">
        <v>0</v>
      </c>
      <c r="AC91" s="48">
        <v>1</v>
      </c>
      <c r="AD91" s="28">
        <v>0</v>
      </c>
      <c r="AE91" s="29">
        <v>0</v>
      </c>
      <c r="AF91" s="29">
        <v>0</v>
      </c>
      <c r="AG91" s="29">
        <v>0</v>
      </c>
      <c r="AH91" s="29">
        <v>0</v>
      </c>
      <c r="AI91" s="30">
        <v>1</v>
      </c>
      <c r="AJ91" s="25">
        <v>0</v>
      </c>
      <c r="AK91" s="29">
        <v>0</v>
      </c>
      <c r="AL91" s="29">
        <v>0</v>
      </c>
      <c r="AM91" s="32">
        <v>0</v>
      </c>
      <c r="AN91" s="33">
        <v>1</v>
      </c>
      <c r="AO91" s="66">
        <v>0</v>
      </c>
      <c r="AP91" s="66">
        <v>0</v>
      </c>
      <c r="AQ91" s="66">
        <v>0</v>
      </c>
      <c r="AR91" s="66"/>
      <c r="AS91" s="66"/>
      <c r="AX91" s="34" t="str">
        <f t="shared" si="17"/>
        <v xml:space="preserve">1991, 2002, 2008, 2014, 2019, </v>
      </c>
      <c r="AY91" s="29"/>
      <c r="AZ91" s="29"/>
      <c r="BA91" s="29"/>
      <c r="BB91" s="29"/>
    </row>
    <row r="92" spans="1:54" x14ac:dyDescent="0.2">
      <c r="A92" s="24">
        <f t="shared" si="16"/>
        <v>89</v>
      </c>
      <c r="B92" s="25" t="s">
        <v>228</v>
      </c>
      <c r="C92" s="26" t="s">
        <v>229</v>
      </c>
      <c r="D92" s="25" t="s">
        <v>53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0</v>
      </c>
      <c r="U92" s="25">
        <v>0</v>
      </c>
      <c r="V92" s="39">
        <v>1</v>
      </c>
      <c r="W92" s="25">
        <v>0</v>
      </c>
      <c r="X92" s="25">
        <v>0</v>
      </c>
      <c r="Y92" s="39">
        <v>1</v>
      </c>
      <c r="Z92" s="25">
        <v>0</v>
      </c>
      <c r="AA92" s="39">
        <v>1</v>
      </c>
      <c r="AB92" s="25">
        <v>0</v>
      </c>
      <c r="AC92" s="27">
        <v>0</v>
      </c>
      <c r="AD92" s="39">
        <v>1</v>
      </c>
      <c r="AE92" s="25">
        <v>0</v>
      </c>
      <c r="AF92" s="29">
        <v>0</v>
      </c>
      <c r="AG92" s="49">
        <v>1</v>
      </c>
      <c r="AH92" s="29">
        <v>0</v>
      </c>
      <c r="AI92" s="29">
        <v>0</v>
      </c>
      <c r="AJ92" s="30">
        <v>1</v>
      </c>
      <c r="AK92" s="29">
        <v>0</v>
      </c>
      <c r="AL92" s="30">
        <v>1</v>
      </c>
      <c r="AM92" s="32">
        <v>0</v>
      </c>
      <c r="AN92" s="36">
        <v>0</v>
      </c>
      <c r="AO92" s="66">
        <v>0</v>
      </c>
      <c r="AP92" s="66">
        <v>0</v>
      </c>
      <c r="AQ92" s="66">
        <v>0</v>
      </c>
      <c r="AR92" s="66"/>
      <c r="AS92" s="66"/>
      <c r="AX92" s="34" t="str">
        <f t="shared" si="17"/>
        <v xml:space="preserve">2001, 2004, 2006, 2009, 2012, 2015, 2017, </v>
      </c>
      <c r="AY92" s="29"/>
      <c r="AZ92" s="29"/>
      <c r="BA92" s="29"/>
      <c r="BB92" s="29"/>
    </row>
    <row r="93" spans="1:54" x14ac:dyDescent="0.2">
      <c r="A93" s="24">
        <f t="shared" si="16"/>
        <v>90</v>
      </c>
      <c r="B93" s="25" t="s">
        <v>230</v>
      </c>
      <c r="C93" s="34" t="s">
        <v>231</v>
      </c>
      <c r="D93" s="25" t="s">
        <v>53</v>
      </c>
      <c r="E93" s="25"/>
      <c r="F93" s="25">
        <v>0</v>
      </c>
      <c r="G93" s="25">
        <v>0</v>
      </c>
      <c r="H93" s="25">
        <v>0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2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  <c r="V93" s="25">
        <v>0</v>
      </c>
      <c r="W93" s="25">
        <v>0</v>
      </c>
      <c r="X93" s="39">
        <v>1</v>
      </c>
      <c r="Y93" s="31">
        <v>0</v>
      </c>
      <c r="Z93" s="25">
        <v>0</v>
      </c>
      <c r="AA93" s="25">
        <v>0</v>
      </c>
      <c r="AB93" s="25">
        <v>0</v>
      </c>
      <c r="AC93" s="27">
        <v>0</v>
      </c>
      <c r="AD93" s="39">
        <v>1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30">
        <v>1</v>
      </c>
      <c r="AK93" s="29">
        <v>0</v>
      </c>
      <c r="AL93" s="29">
        <v>0</v>
      </c>
      <c r="AM93" s="32">
        <v>0</v>
      </c>
      <c r="AN93" s="36">
        <v>0</v>
      </c>
      <c r="AO93" s="66">
        <v>0</v>
      </c>
      <c r="AP93" s="66">
        <v>0</v>
      </c>
      <c r="AQ93" s="66">
        <v>0</v>
      </c>
      <c r="AR93" s="66"/>
      <c r="AS93" s="66"/>
      <c r="AX93" s="34" t="str">
        <f t="shared" si="17"/>
        <v xml:space="preserve">1993, 2003, 2009, 2015, </v>
      </c>
      <c r="AY93" s="29"/>
      <c r="AZ93" s="29"/>
      <c r="BA93" s="29"/>
      <c r="BB93" s="29"/>
    </row>
    <row r="94" spans="1:54" x14ac:dyDescent="0.2">
      <c r="A94" s="24">
        <f t="shared" si="16"/>
        <v>91</v>
      </c>
      <c r="B94" s="25" t="s">
        <v>232</v>
      </c>
      <c r="C94" s="26" t="s">
        <v>233</v>
      </c>
      <c r="D94" s="25" t="s">
        <v>53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5">
        <v>0</v>
      </c>
      <c r="V94" s="25">
        <v>0</v>
      </c>
      <c r="W94" s="25">
        <v>0</v>
      </c>
      <c r="X94" s="25">
        <v>0</v>
      </c>
      <c r="Y94" s="25">
        <v>0</v>
      </c>
      <c r="Z94" s="25">
        <v>0</v>
      </c>
      <c r="AA94" s="35">
        <v>1</v>
      </c>
      <c r="AB94" s="25">
        <v>0</v>
      </c>
      <c r="AC94" s="27">
        <v>0</v>
      </c>
      <c r="AD94" s="28">
        <v>0</v>
      </c>
      <c r="AE94" s="29">
        <v>0</v>
      </c>
      <c r="AF94" s="29">
        <v>0</v>
      </c>
      <c r="AG94" s="30">
        <v>1</v>
      </c>
      <c r="AH94" s="29">
        <v>0</v>
      </c>
      <c r="AI94" s="29">
        <v>0</v>
      </c>
      <c r="AJ94" s="29">
        <v>0</v>
      </c>
      <c r="AK94" s="29">
        <v>0</v>
      </c>
      <c r="AL94" s="29">
        <v>0</v>
      </c>
      <c r="AM94" s="32">
        <v>0</v>
      </c>
      <c r="AN94" s="36">
        <v>0</v>
      </c>
      <c r="AO94" s="66">
        <v>0</v>
      </c>
      <c r="AP94" s="66">
        <v>0</v>
      </c>
      <c r="AQ94" s="66">
        <v>0</v>
      </c>
      <c r="AR94" s="66"/>
      <c r="AS94" s="66"/>
      <c r="AX94" s="34" t="str">
        <f t="shared" si="17"/>
        <v xml:space="preserve">2006, 2012, </v>
      </c>
      <c r="AY94" s="29"/>
      <c r="AZ94" s="29"/>
      <c r="BA94" s="29"/>
      <c r="BB94" s="29"/>
    </row>
    <row r="95" spans="1:54" x14ac:dyDescent="0.2">
      <c r="A95" s="24">
        <f t="shared" si="16"/>
        <v>92</v>
      </c>
      <c r="B95" s="25" t="s">
        <v>234</v>
      </c>
      <c r="C95" s="26" t="s">
        <v>235</v>
      </c>
      <c r="D95" s="25" t="s">
        <v>53</v>
      </c>
      <c r="E95" s="25">
        <v>0</v>
      </c>
      <c r="F95" s="25">
        <v>2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25">
        <v>1</v>
      </c>
      <c r="Q95" s="25">
        <v>0</v>
      </c>
      <c r="R95" s="25">
        <v>0</v>
      </c>
      <c r="S95" s="25">
        <v>0</v>
      </c>
      <c r="T95" s="25">
        <v>0</v>
      </c>
      <c r="U95" s="25">
        <v>0</v>
      </c>
      <c r="V95" s="31">
        <v>0</v>
      </c>
      <c r="W95" s="25">
        <v>0</v>
      </c>
      <c r="X95" s="39">
        <v>1</v>
      </c>
      <c r="Y95" s="31">
        <v>0</v>
      </c>
      <c r="Z95" s="25">
        <v>0</v>
      </c>
      <c r="AA95" s="25">
        <v>0</v>
      </c>
      <c r="AB95" s="25">
        <v>0</v>
      </c>
      <c r="AC95" s="27">
        <v>0</v>
      </c>
      <c r="AD95" s="28">
        <v>0</v>
      </c>
      <c r="AE95" s="30">
        <v>1</v>
      </c>
      <c r="AF95" s="35">
        <v>1</v>
      </c>
      <c r="AG95" s="35">
        <v>1</v>
      </c>
      <c r="AH95" s="35">
        <v>1</v>
      </c>
      <c r="AI95" s="35">
        <v>1</v>
      </c>
      <c r="AJ95" s="49">
        <v>1</v>
      </c>
      <c r="AK95" s="25"/>
      <c r="AL95" s="29">
        <v>0</v>
      </c>
      <c r="AM95" s="32">
        <v>0</v>
      </c>
      <c r="AN95" s="33">
        <v>1</v>
      </c>
      <c r="AO95" s="66">
        <v>0</v>
      </c>
      <c r="AP95" s="66">
        <v>0</v>
      </c>
      <c r="AQ95" s="66">
        <v>0</v>
      </c>
      <c r="AR95" s="66"/>
      <c r="AS95" s="66"/>
      <c r="AX95" s="34" t="str">
        <f t="shared" si="17"/>
        <v xml:space="preserve">1985, 1995, 2003, 2010, 2011, 2012, 2013, 2014, 2015, 2019, </v>
      </c>
      <c r="AY95" s="29"/>
      <c r="AZ95" s="29"/>
      <c r="BA95" s="29"/>
      <c r="BB95" s="29"/>
    </row>
    <row r="96" spans="1:54" x14ac:dyDescent="0.2">
      <c r="A96" s="24">
        <f t="shared" si="16"/>
        <v>93</v>
      </c>
      <c r="B96" s="25" t="s">
        <v>236</v>
      </c>
      <c r="C96" s="26" t="s">
        <v>237</v>
      </c>
      <c r="D96" s="25" t="s">
        <v>53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5">
        <v>0</v>
      </c>
      <c r="M96" s="25">
        <v>0</v>
      </c>
      <c r="N96" s="25">
        <v>2</v>
      </c>
      <c r="O96" s="25">
        <v>0</v>
      </c>
      <c r="P96" s="25">
        <v>0</v>
      </c>
      <c r="Q96" s="25">
        <v>0</v>
      </c>
      <c r="R96" s="25">
        <v>0</v>
      </c>
      <c r="S96" s="25">
        <v>0</v>
      </c>
      <c r="T96" s="25">
        <v>0</v>
      </c>
      <c r="U96" s="25">
        <v>0</v>
      </c>
      <c r="V96" s="25">
        <v>0</v>
      </c>
      <c r="W96" s="25">
        <v>0</v>
      </c>
      <c r="X96" s="25">
        <v>0</v>
      </c>
      <c r="Y96" s="25">
        <v>0</v>
      </c>
      <c r="Z96" s="25">
        <v>0</v>
      </c>
      <c r="AA96" s="25">
        <v>0</v>
      </c>
      <c r="AB96" s="25">
        <v>0</v>
      </c>
      <c r="AC96" s="27">
        <v>0</v>
      </c>
      <c r="AD96" s="39">
        <v>1</v>
      </c>
      <c r="AE96" s="29">
        <v>0</v>
      </c>
      <c r="AF96" s="29">
        <v>0</v>
      </c>
      <c r="AG96" s="29">
        <v>0</v>
      </c>
      <c r="AH96" s="29">
        <v>0</v>
      </c>
      <c r="AI96" s="30">
        <v>1</v>
      </c>
      <c r="AJ96" s="29">
        <v>0</v>
      </c>
      <c r="AK96" s="49">
        <v>1</v>
      </c>
      <c r="AL96" s="29">
        <v>0</v>
      </c>
      <c r="AM96" s="32">
        <v>0</v>
      </c>
      <c r="AN96" s="36">
        <v>0</v>
      </c>
      <c r="AO96" s="66">
        <v>0</v>
      </c>
      <c r="AP96" s="66">
        <v>0</v>
      </c>
      <c r="AQ96" s="66">
        <v>0</v>
      </c>
      <c r="AR96" s="66"/>
      <c r="AS96" s="66"/>
      <c r="AX96" s="34" t="str">
        <f t="shared" si="17"/>
        <v xml:space="preserve">1993, 2009, 2014, 2016, </v>
      </c>
      <c r="AY96" s="29"/>
      <c r="AZ96" s="29"/>
      <c r="BA96" s="29"/>
      <c r="BB96" s="29"/>
    </row>
    <row r="97" spans="1:54" x14ac:dyDescent="0.2">
      <c r="A97" s="24">
        <f t="shared" si="16"/>
        <v>94</v>
      </c>
      <c r="B97" s="25" t="s">
        <v>238</v>
      </c>
      <c r="C97" s="26" t="s">
        <v>239</v>
      </c>
      <c r="D97" s="25" t="s">
        <v>53</v>
      </c>
      <c r="E97" s="25">
        <v>0</v>
      </c>
      <c r="F97" s="25">
        <v>0</v>
      </c>
      <c r="G97" s="25">
        <v>1</v>
      </c>
      <c r="H97" s="25">
        <v>0</v>
      </c>
      <c r="I97" s="25">
        <v>0</v>
      </c>
      <c r="J97" s="25">
        <v>0.5</v>
      </c>
      <c r="K97" s="25">
        <v>0</v>
      </c>
      <c r="L97" s="25">
        <v>0</v>
      </c>
      <c r="M97" s="25">
        <v>2</v>
      </c>
      <c r="N97" s="25">
        <v>0</v>
      </c>
      <c r="O97" s="25">
        <v>2</v>
      </c>
      <c r="P97" s="25">
        <v>1</v>
      </c>
      <c r="Q97" s="25">
        <v>0</v>
      </c>
      <c r="R97" s="25">
        <v>0</v>
      </c>
      <c r="S97" s="25">
        <v>0</v>
      </c>
      <c r="T97" s="25">
        <v>0</v>
      </c>
      <c r="U97" s="25">
        <v>0</v>
      </c>
      <c r="V97" s="25">
        <v>0</v>
      </c>
      <c r="W97" s="25">
        <v>0</v>
      </c>
      <c r="X97" s="25">
        <v>0</v>
      </c>
      <c r="Y97" s="25">
        <v>0</v>
      </c>
      <c r="Z97" s="39">
        <v>1</v>
      </c>
      <c r="AA97" s="25">
        <v>0</v>
      </c>
      <c r="AB97" s="39">
        <v>1</v>
      </c>
      <c r="AC97" s="27">
        <v>0</v>
      </c>
      <c r="AD97" s="52">
        <v>0</v>
      </c>
      <c r="AE97" s="25">
        <v>0</v>
      </c>
      <c r="AF97" s="30">
        <v>1</v>
      </c>
      <c r="AG97" s="29">
        <v>0</v>
      </c>
      <c r="AH97" s="29">
        <v>0</v>
      </c>
      <c r="AI97" s="30">
        <v>1</v>
      </c>
      <c r="AJ97" s="29">
        <v>0</v>
      </c>
      <c r="AK97" s="29">
        <v>0</v>
      </c>
      <c r="AL97" s="29">
        <v>0</v>
      </c>
      <c r="AM97" s="37">
        <v>1</v>
      </c>
      <c r="AN97" s="36">
        <v>0</v>
      </c>
      <c r="AO97" s="66">
        <v>0</v>
      </c>
      <c r="AP97" s="66">
        <v>0</v>
      </c>
      <c r="AQ97" s="66">
        <v>0</v>
      </c>
      <c r="AR97" s="66"/>
      <c r="AS97" s="66"/>
      <c r="AX97" s="34" t="str">
        <f t="shared" si="17"/>
        <v xml:space="preserve">1986, 1992, 1994, 1995, 2005, 2007, 2011, 2014, 2018, </v>
      </c>
      <c r="AY97" s="29"/>
      <c r="AZ97" s="29"/>
      <c r="BA97" s="29"/>
      <c r="BB97" s="29"/>
    </row>
    <row r="98" spans="1:54" x14ac:dyDescent="0.2">
      <c r="A98" s="24">
        <f t="shared" si="16"/>
        <v>95</v>
      </c>
      <c r="B98" s="25" t="s">
        <v>240</v>
      </c>
      <c r="C98" s="26" t="s">
        <v>241</v>
      </c>
      <c r="D98" s="25" t="s">
        <v>53</v>
      </c>
      <c r="E98" s="25">
        <v>0</v>
      </c>
      <c r="F98" s="25">
        <v>1</v>
      </c>
      <c r="G98" s="25">
        <v>1</v>
      </c>
      <c r="H98" s="25">
        <v>0</v>
      </c>
      <c r="I98" s="25">
        <v>0</v>
      </c>
      <c r="J98" s="25">
        <v>0</v>
      </c>
      <c r="K98" s="25">
        <v>1</v>
      </c>
      <c r="L98" s="25">
        <v>0</v>
      </c>
      <c r="M98" s="25">
        <v>1</v>
      </c>
      <c r="N98" s="25">
        <v>2</v>
      </c>
      <c r="O98" s="25">
        <v>0</v>
      </c>
      <c r="P98" s="25">
        <v>0</v>
      </c>
      <c r="Q98" s="25">
        <v>0</v>
      </c>
      <c r="R98" s="25">
        <v>0</v>
      </c>
      <c r="S98" s="25">
        <v>0</v>
      </c>
      <c r="T98" s="25">
        <v>0</v>
      </c>
      <c r="U98" s="25">
        <v>0</v>
      </c>
      <c r="V98" s="25">
        <v>0</v>
      </c>
      <c r="W98" s="25">
        <v>0</v>
      </c>
      <c r="X98" s="39">
        <v>1</v>
      </c>
      <c r="Y98" s="31">
        <v>0</v>
      </c>
      <c r="Z98" s="25">
        <v>0</v>
      </c>
      <c r="AA98" s="35">
        <v>1</v>
      </c>
      <c r="AB98" s="35">
        <v>1</v>
      </c>
      <c r="AC98" s="48">
        <v>1</v>
      </c>
      <c r="AD98" s="41">
        <v>1</v>
      </c>
      <c r="AE98" s="35">
        <v>1</v>
      </c>
      <c r="AF98" s="25">
        <v>0</v>
      </c>
      <c r="AG98" s="35">
        <v>1</v>
      </c>
      <c r="AH98" s="25">
        <v>0</v>
      </c>
      <c r="AI98" s="25">
        <v>0</v>
      </c>
      <c r="AJ98" s="35">
        <v>1</v>
      </c>
      <c r="AK98" s="25">
        <v>0</v>
      </c>
      <c r="AL98" s="29">
        <v>0</v>
      </c>
      <c r="AM98" s="37">
        <v>1</v>
      </c>
      <c r="AN98" s="36">
        <v>0</v>
      </c>
      <c r="AO98" s="66">
        <v>0</v>
      </c>
      <c r="AP98" s="66">
        <v>0</v>
      </c>
      <c r="AQ98" s="66">
        <v>0</v>
      </c>
      <c r="AR98" s="66"/>
      <c r="AS98" s="66"/>
      <c r="AX98" s="34" t="str">
        <f t="shared" si="17"/>
        <v xml:space="preserve">1985, 1986, 1990, 1992, 1993, 2003, 2006, 2007, 2008, 2009, 2010, 2012, 2015, 2018, </v>
      </c>
      <c r="AY98" s="29"/>
      <c r="AZ98" s="29"/>
      <c r="BA98" s="29"/>
      <c r="BB98" s="29"/>
    </row>
    <row r="99" spans="1:54" x14ac:dyDescent="0.2">
      <c r="A99" s="24">
        <f t="shared" si="16"/>
        <v>96</v>
      </c>
      <c r="B99" s="25" t="s">
        <v>242</v>
      </c>
      <c r="C99" s="34" t="s">
        <v>243</v>
      </c>
      <c r="D99" s="25" t="s">
        <v>53</v>
      </c>
      <c r="E99" s="25">
        <v>0</v>
      </c>
      <c r="F99" s="25">
        <v>1</v>
      </c>
      <c r="G99" s="25">
        <v>1</v>
      </c>
      <c r="H99" s="25">
        <v>1</v>
      </c>
      <c r="I99" s="25">
        <v>0</v>
      </c>
      <c r="J99" s="25">
        <v>0</v>
      </c>
      <c r="K99" s="25">
        <v>1</v>
      </c>
      <c r="L99" s="25">
        <v>2</v>
      </c>
      <c r="M99" s="25">
        <v>0</v>
      </c>
      <c r="N99" s="25">
        <v>1</v>
      </c>
      <c r="O99" s="25">
        <v>0</v>
      </c>
      <c r="P99" s="25">
        <v>0</v>
      </c>
      <c r="Q99" s="25">
        <v>0</v>
      </c>
      <c r="R99" s="25">
        <v>0</v>
      </c>
      <c r="S99" s="25">
        <v>1</v>
      </c>
      <c r="T99" s="25">
        <v>0</v>
      </c>
      <c r="U99" s="25">
        <v>0</v>
      </c>
      <c r="V99" s="35">
        <v>1</v>
      </c>
      <c r="W99" s="31">
        <v>0</v>
      </c>
      <c r="X99" s="25">
        <v>0</v>
      </c>
      <c r="Y99" s="35">
        <v>1</v>
      </c>
      <c r="Z99" s="35">
        <v>1</v>
      </c>
      <c r="AA99" s="25">
        <v>0</v>
      </c>
      <c r="AB99" s="35">
        <v>1</v>
      </c>
      <c r="AC99" s="57">
        <v>1</v>
      </c>
      <c r="AD99" s="28">
        <v>0</v>
      </c>
      <c r="AE99" s="30">
        <v>1</v>
      </c>
      <c r="AF99" s="30">
        <v>1</v>
      </c>
      <c r="AG99" s="49">
        <v>1</v>
      </c>
      <c r="AH99" s="30">
        <v>1</v>
      </c>
      <c r="AI99" s="49">
        <v>1</v>
      </c>
      <c r="AJ99" s="30">
        <v>1</v>
      </c>
      <c r="AK99" s="29">
        <v>0</v>
      </c>
      <c r="AL99" s="29">
        <v>0</v>
      </c>
      <c r="AM99" s="51">
        <v>1</v>
      </c>
      <c r="AN99" s="36">
        <v>0</v>
      </c>
      <c r="AO99" s="66">
        <v>0</v>
      </c>
      <c r="AP99" s="66">
        <v>0</v>
      </c>
      <c r="AQ99" s="66">
        <v>0</v>
      </c>
      <c r="AR99" s="66"/>
      <c r="AS99" s="66"/>
      <c r="AX99" s="34" t="str">
        <f t="shared" si="17"/>
        <v xml:space="preserve">1985, 1986, 1987, 1990, 1991, 1993, 1998, 2001, 2004, 2005, 2007, 2008, 2010, 2011, 2012, 2013, 2014, 2015, 2018, </v>
      </c>
      <c r="AY99" s="29"/>
      <c r="AZ99" s="29"/>
      <c r="BA99" s="29"/>
      <c r="BB99" s="29"/>
    </row>
    <row r="100" spans="1:54" x14ac:dyDescent="0.2">
      <c r="A100" s="24">
        <f t="shared" si="16"/>
        <v>97</v>
      </c>
      <c r="B100" s="25" t="s">
        <v>244</v>
      </c>
      <c r="C100" s="26" t="s">
        <v>245</v>
      </c>
      <c r="D100" s="25" t="s">
        <v>53</v>
      </c>
      <c r="E100" s="25">
        <v>0</v>
      </c>
      <c r="F100" s="25">
        <v>0</v>
      </c>
      <c r="G100" s="25">
        <v>0</v>
      </c>
      <c r="H100" s="25">
        <v>0</v>
      </c>
      <c r="I100" s="25">
        <v>0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>
        <v>0</v>
      </c>
      <c r="T100" s="25">
        <v>0</v>
      </c>
      <c r="U100" s="25">
        <v>0</v>
      </c>
      <c r="V100" s="25">
        <v>0</v>
      </c>
      <c r="W100" s="25">
        <v>0</v>
      </c>
      <c r="X100" s="25">
        <v>0</v>
      </c>
      <c r="Y100" s="25">
        <v>0</v>
      </c>
      <c r="Z100" s="25">
        <v>0</v>
      </c>
      <c r="AA100" s="30">
        <v>1</v>
      </c>
      <c r="AB100" s="25">
        <v>0</v>
      </c>
      <c r="AC100" s="27">
        <v>0</v>
      </c>
      <c r="AD100" s="28">
        <v>0</v>
      </c>
      <c r="AE100" s="29">
        <v>0</v>
      </c>
      <c r="AF100" s="29">
        <v>0</v>
      </c>
      <c r="AG100" s="29">
        <v>0</v>
      </c>
      <c r="AH100" s="30">
        <v>1</v>
      </c>
      <c r="AI100" s="29">
        <v>0</v>
      </c>
      <c r="AJ100" s="29">
        <v>0</v>
      </c>
      <c r="AK100" s="29">
        <v>0</v>
      </c>
      <c r="AL100" s="29">
        <v>0</v>
      </c>
      <c r="AM100" s="32">
        <v>0</v>
      </c>
      <c r="AN100" s="36">
        <v>0</v>
      </c>
      <c r="AO100" s="66">
        <v>0</v>
      </c>
      <c r="AP100" s="66">
        <v>0</v>
      </c>
      <c r="AQ100" s="66">
        <v>0</v>
      </c>
      <c r="AR100" s="66"/>
      <c r="AS100" s="66"/>
      <c r="AX100" s="34" t="str">
        <f t="shared" si="17"/>
        <v xml:space="preserve">2006, 2013, </v>
      </c>
      <c r="AY100" s="29"/>
      <c r="AZ100" s="29"/>
      <c r="BA100" s="29"/>
      <c r="BB100" s="29"/>
    </row>
    <row r="101" spans="1:54" x14ac:dyDescent="0.2">
      <c r="A101" s="24">
        <f t="shared" si="16"/>
        <v>98</v>
      </c>
      <c r="B101" s="25" t="s">
        <v>246</v>
      </c>
      <c r="C101" s="40" t="s">
        <v>247</v>
      </c>
      <c r="D101" s="25" t="s">
        <v>53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1</v>
      </c>
      <c r="K101" s="25">
        <v>1</v>
      </c>
      <c r="L101" s="25">
        <v>2</v>
      </c>
      <c r="M101" s="25">
        <v>0</v>
      </c>
      <c r="N101" s="25">
        <v>0</v>
      </c>
      <c r="O101" s="25">
        <v>0</v>
      </c>
      <c r="P101" s="25">
        <v>2</v>
      </c>
      <c r="Q101" s="25">
        <v>0</v>
      </c>
      <c r="R101" s="25">
        <v>0</v>
      </c>
      <c r="S101" s="25">
        <v>1</v>
      </c>
      <c r="T101" s="25">
        <v>1</v>
      </c>
      <c r="U101" s="39">
        <v>1</v>
      </c>
      <c r="V101" s="39">
        <v>1</v>
      </c>
      <c r="W101" s="39">
        <v>1</v>
      </c>
      <c r="X101" s="39">
        <v>1</v>
      </c>
      <c r="Y101" s="39">
        <v>1</v>
      </c>
      <c r="Z101" s="39">
        <v>1</v>
      </c>
      <c r="AA101" s="39">
        <v>1</v>
      </c>
      <c r="AB101" s="39">
        <v>1</v>
      </c>
      <c r="AC101" s="39">
        <v>1</v>
      </c>
      <c r="AD101" s="39">
        <v>1</v>
      </c>
      <c r="AE101" s="39">
        <v>1</v>
      </c>
      <c r="AF101" s="30">
        <v>1</v>
      </c>
      <c r="AG101" s="30">
        <v>1</v>
      </c>
      <c r="AH101" s="30">
        <v>1</v>
      </c>
      <c r="AI101" s="30">
        <v>1</v>
      </c>
      <c r="AJ101" s="30">
        <v>1</v>
      </c>
      <c r="AK101" s="30">
        <v>1</v>
      </c>
      <c r="AL101" s="30">
        <v>1</v>
      </c>
      <c r="AM101" s="37">
        <v>1</v>
      </c>
      <c r="AN101" s="36">
        <v>0</v>
      </c>
      <c r="AO101" s="66">
        <v>0</v>
      </c>
      <c r="AP101" s="66">
        <v>0</v>
      </c>
      <c r="AQ101" s="66">
        <v>0</v>
      </c>
      <c r="AR101" s="66"/>
      <c r="AS101" s="66"/>
      <c r="AX101" s="34" t="str">
        <f t="shared" si="17"/>
        <v xml:space="preserve">1989, 1990, 1991, 1995, 1998, 1999, 2000, 2001, 2002, 2003, 2004, 2005, 2006, 2007, 2008, 2009, 2010, 2011, 2012, 2013, 2014, 2015, 2016, 2017, 2018, </v>
      </c>
      <c r="AY101" s="29"/>
      <c r="AZ101" s="29"/>
      <c r="BA101" s="29"/>
      <c r="BB101" s="29"/>
    </row>
    <row r="102" spans="1:54" x14ac:dyDescent="0.2">
      <c r="A102" s="24">
        <f t="shared" si="16"/>
        <v>99</v>
      </c>
      <c r="B102" s="25" t="s">
        <v>248</v>
      </c>
      <c r="C102" s="26" t="s">
        <v>249</v>
      </c>
      <c r="D102" s="25" t="s">
        <v>53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25">
        <v>0.5</v>
      </c>
      <c r="L102" s="25">
        <v>0</v>
      </c>
      <c r="M102" s="25">
        <v>0</v>
      </c>
      <c r="N102" s="25">
        <v>0</v>
      </c>
      <c r="O102" s="25">
        <v>0</v>
      </c>
      <c r="P102" s="25">
        <v>0</v>
      </c>
      <c r="Q102" s="25">
        <v>0</v>
      </c>
      <c r="R102" s="25">
        <v>0</v>
      </c>
      <c r="S102" s="25">
        <v>0</v>
      </c>
      <c r="T102" s="25">
        <v>0</v>
      </c>
      <c r="U102" s="25">
        <v>0</v>
      </c>
      <c r="V102" s="25">
        <v>0</v>
      </c>
      <c r="W102" s="25">
        <v>0</v>
      </c>
      <c r="X102" s="25">
        <v>0</v>
      </c>
      <c r="Y102" s="25">
        <v>0</v>
      </c>
      <c r="Z102" s="25">
        <v>0</v>
      </c>
      <c r="AA102" s="25">
        <v>0</v>
      </c>
      <c r="AB102" s="25">
        <v>0</v>
      </c>
      <c r="AC102" s="27">
        <v>0</v>
      </c>
      <c r="AD102" s="39">
        <v>1</v>
      </c>
      <c r="AE102" s="25">
        <v>0</v>
      </c>
      <c r="AF102" s="29">
        <v>0</v>
      </c>
      <c r="AG102" s="25">
        <v>0</v>
      </c>
      <c r="AH102" s="29">
        <v>0</v>
      </c>
      <c r="AI102" s="29">
        <v>0</v>
      </c>
      <c r="AJ102" s="29">
        <v>0</v>
      </c>
      <c r="AK102" s="29">
        <v>0</v>
      </c>
      <c r="AL102" s="29">
        <v>0</v>
      </c>
      <c r="AM102" s="32">
        <v>0</v>
      </c>
      <c r="AN102" s="36">
        <v>0</v>
      </c>
      <c r="AO102" s="66">
        <v>0</v>
      </c>
      <c r="AP102" s="66">
        <v>0</v>
      </c>
      <c r="AQ102" s="66">
        <v>0</v>
      </c>
      <c r="AR102" s="66"/>
      <c r="AS102" s="66"/>
      <c r="AX102" s="34" t="str">
        <f t="shared" si="17"/>
        <v xml:space="preserve">2009, </v>
      </c>
      <c r="AY102" s="29"/>
      <c r="AZ102" s="29"/>
      <c r="BA102" s="29"/>
      <c r="BB102" s="29"/>
    </row>
    <row r="103" spans="1:54" x14ac:dyDescent="0.2">
      <c r="A103" s="24">
        <f t="shared" si="16"/>
        <v>100</v>
      </c>
      <c r="B103" s="25" t="s">
        <v>250</v>
      </c>
      <c r="C103" s="26" t="s">
        <v>251</v>
      </c>
      <c r="D103" s="25" t="s">
        <v>53</v>
      </c>
      <c r="E103" s="25">
        <v>0</v>
      </c>
      <c r="F103" s="25">
        <v>1</v>
      </c>
      <c r="G103" s="25">
        <v>1</v>
      </c>
      <c r="H103" s="25">
        <v>1</v>
      </c>
      <c r="I103" s="25">
        <v>1</v>
      </c>
      <c r="J103" s="25">
        <v>1</v>
      </c>
      <c r="K103" s="25">
        <v>2</v>
      </c>
      <c r="L103" s="25">
        <v>1</v>
      </c>
      <c r="M103" s="25">
        <v>1</v>
      </c>
      <c r="N103" s="25">
        <v>1</v>
      </c>
      <c r="O103" s="25">
        <v>1</v>
      </c>
      <c r="P103" s="25">
        <v>2</v>
      </c>
      <c r="Q103" s="25">
        <v>0</v>
      </c>
      <c r="R103" s="25">
        <v>0</v>
      </c>
      <c r="S103" s="25">
        <v>0</v>
      </c>
      <c r="T103" s="25">
        <v>1</v>
      </c>
      <c r="U103" s="25">
        <v>0</v>
      </c>
      <c r="V103" s="35">
        <v>1</v>
      </c>
      <c r="W103" s="39">
        <v>1</v>
      </c>
      <c r="X103" s="39">
        <v>1</v>
      </c>
      <c r="Y103" s="39">
        <v>1</v>
      </c>
      <c r="Z103" s="39">
        <v>1</v>
      </c>
      <c r="AA103" s="39">
        <v>1</v>
      </c>
      <c r="AB103" s="39">
        <v>1</v>
      </c>
      <c r="AC103" s="39">
        <v>1</v>
      </c>
      <c r="AD103" s="39">
        <v>1</v>
      </c>
      <c r="AE103" s="30">
        <v>1</v>
      </c>
      <c r="AF103" s="30">
        <v>1</v>
      </c>
      <c r="AG103" s="30">
        <v>1</v>
      </c>
      <c r="AH103" s="30">
        <v>1</v>
      </c>
      <c r="AI103" s="30">
        <v>1</v>
      </c>
      <c r="AJ103" s="30">
        <v>1</v>
      </c>
      <c r="AK103" s="30">
        <v>1</v>
      </c>
      <c r="AL103" s="30">
        <v>1</v>
      </c>
      <c r="AM103" s="30">
        <v>1</v>
      </c>
      <c r="AN103" s="58">
        <v>1</v>
      </c>
      <c r="AO103" s="66">
        <v>0</v>
      </c>
      <c r="AP103" s="66">
        <v>0</v>
      </c>
      <c r="AQ103" s="66">
        <v>0</v>
      </c>
      <c r="AR103" s="66"/>
      <c r="AS103" s="66"/>
      <c r="AX103" s="34" t="str">
        <f t="shared" si="17"/>
        <v xml:space="preserve">1985, 1986, 1987, 1988, 1989, 1990, 1991, 1992, 1993, 1994, 1995, 1999, 2001, 2002, 2003, 2004, 2005, 2006, 2007, 2008, 2009, 2010, 2011, 2012, 2013, 2014, 2015, 2016, 2017, 2018, 2019, </v>
      </c>
      <c r="AY103" s="29"/>
      <c r="AZ103" s="29"/>
      <c r="BA103" s="29"/>
      <c r="BB103" s="29"/>
    </row>
    <row r="104" spans="1:54" x14ac:dyDescent="0.2">
      <c r="A104" s="24">
        <f t="shared" si="16"/>
        <v>101</v>
      </c>
      <c r="B104" s="25" t="s">
        <v>252</v>
      </c>
      <c r="C104" s="34" t="s">
        <v>253</v>
      </c>
      <c r="D104" s="25" t="s">
        <v>53</v>
      </c>
      <c r="E104" s="25">
        <v>0</v>
      </c>
      <c r="F104" s="25">
        <v>1</v>
      </c>
      <c r="G104" s="25">
        <v>1</v>
      </c>
      <c r="H104" s="25">
        <v>0</v>
      </c>
      <c r="I104" s="25">
        <v>0</v>
      </c>
      <c r="J104" s="25">
        <v>0</v>
      </c>
      <c r="K104" s="25">
        <v>2</v>
      </c>
      <c r="L104" s="25">
        <v>1</v>
      </c>
      <c r="M104" s="25">
        <v>0</v>
      </c>
      <c r="N104" s="25">
        <v>0</v>
      </c>
      <c r="O104" s="25">
        <v>2</v>
      </c>
      <c r="P104" s="25">
        <v>1</v>
      </c>
      <c r="Q104" s="25">
        <v>0</v>
      </c>
      <c r="R104" s="25">
        <v>0</v>
      </c>
      <c r="S104" s="25">
        <v>1</v>
      </c>
      <c r="T104" s="25">
        <v>1</v>
      </c>
      <c r="U104" s="39">
        <v>1</v>
      </c>
      <c r="V104" s="39">
        <v>1</v>
      </c>
      <c r="W104" s="39">
        <v>1</v>
      </c>
      <c r="X104" s="39">
        <v>1</v>
      </c>
      <c r="Y104" s="39">
        <v>1</v>
      </c>
      <c r="Z104" s="39">
        <v>1</v>
      </c>
      <c r="AA104" s="39">
        <v>1</v>
      </c>
      <c r="AB104" s="39">
        <v>1</v>
      </c>
      <c r="AC104" s="39">
        <v>1</v>
      </c>
      <c r="AD104" s="39">
        <v>1</v>
      </c>
      <c r="AE104" s="30">
        <v>1</v>
      </c>
      <c r="AF104" s="30">
        <v>1</v>
      </c>
      <c r="AG104" s="30">
        <v>1</v>
      </c>
      <c r="AH104" s="30">
        <v>1</v>
      </c>
      <c r="AI104" s="30">
        <v>1</v>
      </c>
      <c r="AJ104" s="30">
        <v>1</v>
      </c>
      <c r="AK104" s="30">
        <v>1</v>
      </c>
      <c r="AL104" s="30">
        <v>1</v>
      </c>
      <c r="AM104" s="37">
        <v>1</v>
      </c>
      <c r="AN104" s="38">
        <v>0</v>
      </c>
      <c r="AO104" s="79">
        <v>0</v>
      </c>
      <c r="AP104" s="66">
        <v>0</v>
      </c>
      <c r="AQ104" s="66">
        <v>0</v>
      </c>
      <c r="AR104" s="66"/>
      <c r="AS104" s="66"/>
      <c r="AX104" s="34" t="str">
        <f t="shared" si="17"/>
        <v xml:space="preserve">1985, 1986, 1990, 1991, 1994, 1995, 1998, 1999, 2000, 2001, 2002, 2003, 2004, 2005, 2006, 2007, 2008, 2009, 2010, 2011, 2012, 2013, 2014, 2015, 2016, 2017, 2018, </v>
      </c>
      <c r="AY104" s="29"/>
      <c r="AZ104" s="29"/>
      <c r="BA104" s="29"/>
      <c r="BB104" s="29"/>
    </row>
    <row r="105" spans="1:54" x14ac:dyDescent="0.2">
      <c r="A105" s="24">
        <f t="shared" si="16"/>
        <v>102</v>
      </c>
      <c r="B105" s="25" t="s">
        <v>254</v>
      </c>
      <c r="C105" s="26" t="s">
        <v>255</v>
      </c>
      <c r="D105" s="25" t="s">
        <v>53</v>
      </c>
      <c r="E105" s="25">
        <v>0</v>
      </c>
      <c r="F105" s="25">
        <v>2</v>
      </c>
      <c r="G105" s="25">
        <v>0</v>
      </c>
      <c r="H105" s="25">
        <v>0</v>
      </c>
      <c r="I105" s="25">
        <v>2</v>
      </c>
      <c r="J105" s="25">
        <v>0</v>
      </c>
      <c r="K105" s="25">
        <v>0</v>
      </c>
      <c r="L105" s="25">
        <v>2</v>
      </c>
      <c r="M105" s="25">
        <v>0</v>
      </c>
      <c r="N105" s="25">
        <v>0</v>
      </c>
      <c r="O105" s="25">
        <v>2</v>
      </c>
      <c r="P105" s="25">
        <v>0</v>
      </c>
      <c r="Q105" s="25">
        <v>0</v>
      </c>
      <c r="R105" s="25">
        <v>0</v>
      </c>
      <c r="S105" s="25">
        <v>0</v>
      </c>
      <c r="T105" s="25">
        <v>0</v>
      </c>
      <c r="U105" s="39">
        <v>1</v>
      </c>
      <c r="V105" s="25">
        <v>0</v>
      </c>
      <c r="W105" s="25">
        <v>0</v>
      </c>
      <c r="X105" s="39">
        <v>1</v>
      </c>
      <c r="Y105" s="25">
        <v>0</v>
      </c>
      <c r="Z105" s="25">
        <v>0</v>
      </c>
      <c r="AA105" s="39">
        <v>1</v>
      </c>
      <c r="AB105" s="49">
        <v>1</v>
      </c>
      <c r="AC105" s="48">
        <v>1</v>
      </c>
      <c r="AD105" s="39">
        <v>1</v>
      </c>
      <c r="AE105" s="49">
        <v>1</v>
      </c>
      <c r="AF105" s="49">
        <v>1</v>
      </c>
      <c r="AG105" s="30">
        <v>1</v>
      </c>
      <c r="AH105" s="49">
        <v>1</v>
      </c>
      <c r="AI105" s="49">
        <v>1</v>
      </c>
      <c r="AJ105" s="30">
        <v>1</v>
      </c>
      <c r="AK105" s="49">
        <v>1</v>
      </c>
      <c r="AL105" s="49">
        <v>1</v>
      </c>
      <c r="AM105" s="37">
        <v>1</v>
      </c>
      <c r="AN105" s="49">
        <v>1</v>
      </c>
      <c r="AO105" s="66">
        <v>0</v>
      </c>
      <c r="AP105" s="66">
        <v>0</v>
      </c>
      <c r="AQ105" s="66">
        <v>0</v>
      </c>
      <c r="AR105" s="66"/>
      <c r="AS105" s="66"/>
      <c r="AX105" s="34" t="str">
        <f t="shared" si="17"/>
        <v xml:space="preserve">1985, 1988, 1991, 1994, 2000, 2003, 2006, 2007, 2008, 2009, 2010, 2011, 2012, 2013, 2014, 2015, 2016, 2017, 2018, 2019, </v>
      </c>
      <c r="AY105" s="29"/>
      <c r="AZ105" s="29"/>
      <c r="BA105" s="29"/>
      <c r="BB105" s="29"/>
    </row>
    <row r="106" spans="1:54" x14ac:dyDescent="0.2">
      <c r="A106" s="24">
        <f t="shared" si="16"/>
        <v>103</v>
      </c>
      <c r="B106" s="25" t="s">
        <v>256</v>
      </c>
      <c r="C106" s="59" t="s">
        <v>257</v>
      </c>
      <c r="D106" s="25" t="s">
        <v>53</v>
      </c>
      <c r="E106" s="25">
        <v>0</v>
      </c>
      <c r="F106" s="25">
        <v>2</v>
      </c>
      <c r="G106" s="25">
        <v>1</v>
      </c>
      <c r="H106" s="25">
        <v>2</v>
      </c>
      <c r="I106" s="25">
        <v>0</v>
      </c>
      <c r="J106" s="25">
        <v>2</v>
      </c>
      <c r="K106" s="25">
        <v>1</v>
      </c>
      <c r="L106" s="25">
        <v>1</v>
      </c>
      <c r="M106" s="25">
        <v>2</v>
      </c>
      <c r="N106" s="25">
        <v>2</v>
      </c>
      <c r="O106" s="25">
        <v>1</v>
      </c>
      <c r="P106" s="25">
        <v>1</v>
      </c>
      <c r="Q106" s="25">
        <v>0</v>
      </c>
      <c r="R106" s="25">
        <v>1</v>
      </c>
      <c r="S106" s="25">
        <v>1</v>
      </c>
      <c r="T106" s="25">
        <v>1</v>
      </c>
      <c r="U106" s="39">
        <v>1</v>
      </c>
      <c r="V106" s="39">
        <v>1</v>
      </c>
      <c r="W106" s="39">
        <v>1</v>
      </c>
      <c r="X106" s="39">
        <v>1</v>
      </c>
      <c r="Y106" s="39">
        <v>1</v>
      </c>
      <c r="Z106" s="39">
        <v>1</v>
      </c>
      <c r="AA106" s="39">
        <v>2</v>
      </c>
      <c r="AB106" s="39">
        <v>2</v>
      </c>
      <c r="AC106" s="39">
        <v>2</v>
      </c>
      <c r="AD106" s="60">
        <v>2</v>
      </c>
      <c r="AE106" s="61">
        <v>1</v>
      </c>
      <c r="AF106" s="61">
        <v>1</v>
      </c>
      <c r="AG106" s="61">
        <v>2</v>
      </c>
      <c r="AH106" s="61">
        <v>2</v>
      </c>
      <c r="AI106" s="61">
        <v>2</v>
      </c>
      <c r="AJ106" s="61">
        <v>2</v>
      </c>
      <c r="AK106" s="61">
        <v>1</v>
      </c>
      <c r="AL106" s="61">
        <v>1</v>
      </c>
      <c r="AM106" s="49">
        <v>2</v>
      </c>
      <c r="AN106" s="49">
        <v>1</v>
      </c>
      <c r="AO106" s="66">
        <v>1</v>
      </c>
      <c r="AP106" s="66">
        <v>1</v>
      </c>
      <c r="AQ106" s="66">
        <v>1</v>
      </c>
      <c r="AR106" s="66"/>
      <c r="AS106" s="66"/>
      <c r="AX106" s="34" t="str">
        <f t="shared" si="17"/>
        <v xml:space="preserve">1985, 1986, 1987, 1989, 1990, 1991, 1992, 1993, 1994, 1995, 1997, 1998, 1999, 2000, 2001, 2002, 2003, 2004, 2005, 2006, 2007, 2008, 2009, 2010, 2011, 2012, 2013, 2014, 2015, 2016, 2017, 2018, 2019, 2020, 2021, 2022, </v>
      </c>
      <c r="AY106" s="29"/>
      <c r="AZ106" s="29"/>
      <c r="BA106" s="29"/>
      <c r="BB106" s="29"/>
    </row>
    <row r="107" spans="1:54" x14ac:dyDescent="0.2">
      <c r="A107" s="24">
        <f t="shared" si="16"/>
        <v>104</v>
      </c>
      <c r="B107" s="25" t="s">
        <v>258</v>
      </c>
      <c r="C107" s="34" t="s">
        <v>259</v>
      </c>
      <c r="D107" s="25" t="s">
        <v>53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25">
        <v>0</v>
      </c>
      <c r="L107" s="25">
        <v>0</v>
      </c>
      <c r="M107" s="25">
        <v>0</v>
      </c>
      <c r="N107" s="25">
        <v>0</v>
      </c>
      <c r="O107" s="25">
        <v>0</v>
      </c>
      <c r="P107" s="25">
        <v>0</v>
      </c>
      <c r="Q107" s="25">
        <v>1</v>
      </c>
      <c r="R107" s="25">
        <v>1</v>
      </c>
      <c r="S107" s="25">
        <v>1</v>
      </c>
      <c r="T107" s="25">
        <v>1</v>
      </c>
      <c r="U107" s="39">
        <v>1</v>
      </c>
      <c r="V107" s="39">
        <v>1</v>
      </c>
      <c r="W107" s="39">
        <v>1</v>
      </c>
      <c r="X107" s="39">
        <v>1</v>
      </c>
      <c r="Y107" s="39">
        <v>1</v>
      </c>
      <c r="Z107" s="39">
        <v>1</v>
      </c>
      <c r="AA107" s="39">
        <v>1</v>
      </c>
      <c r="AB107" s="39">
        <v>1</v>
      </c>
      <c r="AC107" s="39">
        <v>1</v>
      </c>
      <c r="AD107" s="39">
        <v>1</v>
      </c>
      <c r="AE107" s="30">
        <v>1</v>
      </c>
      <c r="AF107" s="30">
        <v>1</v>
      </c>
      <c r="AG107" s="30">
        <v>1</v>
      </c>
      <c r="AH107" s="30">
        <v>1</v>
      </c>
      <c r="AI107" s="30">
        <v>1</v>
      </c>
      <c r="AJ107" s="30">
        <v>1</v>
      </c>
      <c r="AK107" s="30">
        <v>1</v>
      </c>
      <c r="AL107" s="30">
        <v>1</v>
      </c>
      <c r="AM107" s="49">
        <v>1</v>
      </c>
      <c r="AN107" s="49">
        <v>1</v>
      </c>
      <c r="AO107" s="66">
        <v>1</v>
      </c>
      <c r="AP107" s="66">
        <v>1</v>
      </c>
      <c r="AQ107" s="66">
        <v>0</v>
      </c>
      <c r="AR107" s="66"/>
      <c r="AS107" s="66"/>
      <c r="AX107" s="34" t="str">
        <f t="shared" si="17"/>
        <v xml:space="preserve">1996, 1997, 1998, 1999, 2000, 2001, 2002, 2003, 2004, 2005, 2006, 2007, 2008, 2009, 2010, 2011, 2012, 2013, 2014, 2015, 2016, 2017, 2018, 2019, 2020, 2021, </v>
      </c>
      <c r="AY107" s="29"/>
      <c r="AZ107" s="29"/>
      <c r="BA107" s="29"/>
      <c r="BB107" s="29"/>
    </row>
    <row r="108" spans="1:54" x14ac:dyDescent="0.2">
      <c r="A108" s="24">
        <f t="shared" si="16"/>
        <v>105</v>
      </c>
      <c r="B108" s="25" t="s">
        <v>260</v>
      </c>
      <c r="C108" s="34" t="s">
        <v>261</v>
      </c>
      <c r="D108" s="25" t="s">
        <v>53</v>
      </c>
      <c r="E108" s="25">
        <v>0</v>
      </c>
      <c r="F108" s="25">
        <v>0</v>
      </c>
      <c r="G108" s="25">
        <v>0</v>
      </c>
      <c r="H108" s="25">
        <v>0</v>
      </c>
      <c r="I108" s="25">
        <v>1</v>
      </c>
      <c r="J108" s="25">
        <v>0</v>
      </c>
      <c r="K108" s="25">
        <v>0</v>
      </c>
      <c r="L108" s="25">
        <v>0</v>
      </c>
      <c r="M108" s="25">
        <v>1</v>
      </c>
      <c r="N108" s="25">
        <v>2</v>
      </c>
      <c r="O108" s="25">
        <v>1</v>
      </c>
      <c r="P108" s="25">
        <v>1</v>
      </c>
      <c r="Q108" s="25">
        <v>0</v>
      </c>
      <c r="R108" s="25">
        <v>0</v>
      </c>
      <c r="S108" s="25">
        <v>1</v>
      </c>
      <c r="T108" s="25">
        <v>1</v>
      </c>
      <c r="U108" s="39">
        <v>1</v>
      </c>
      <c r="V108" s="48">
        <v>1</v>
      </c>
      <c r="W108" s="39">
        <v>1</v>
      </c>
      <c r="X108" s="39">
        <v>1</v>
      </c>
      <c r="Y108" s="39">
        <v>1</v>
      </c>
      <c r="Z108" s="39">
        <v>1</v>
      </c>
      <c r="AA108" s="39">
        <v>1</v>
      </c>
      <c r="AB108" s="39">
        <v>1</v>
      </c>
      <c r="AC108" s="39">
        <v>1</v>
      </c>
      <c r="AD108" s="39">
        <v>1</v>
      </c>
      <c r="AE108" s="30">
        <v>1</v>
      </c>
      <c r="AF108" s="30">
        <v>1</v>
      </c>
      <c r="AG108" s="30">
        <v>1</v>
      </c>
      <c r="AH108" s="30">
        <v>1</v>
      </c>
      <c r="AI108" s="30">
        <v>1</v>
      </c>
      <c r="AJ108" s="30">
        <v>1</v>
      </c>
      <c r="AK108" s="29">
        <v>0</v>
      </c>
      <c r="AL108" s="29">
        <v>0</v>
      </c>
      <c r="AM108" s="32">
        <v>0</v>
      </c>
      <c r="AN108" s="36">
        <v>0</v>
      </c>
      <c r="AO108" s="66">
        <v>0</v>
      </c>
      <c r="AP108" s="66">
        <v>0</v>
      </c>
      <c r="AQ108" s="66">
        <v>0</v>
      </c>
      <c r="AR108" s="66"/>
      <c r="AS108" s="66"/>
      <c r="AX108" s="34" t="str">
        <f t="shared" si="17"/>
        <v xml:space="preserve">1988, 1992, 1993, 1994, 1995, 1998, 1999, 2000, 2001, 2002, 2003, 2004, 2005, 2006, 2007, 2008, 2009, 2010, 2011, 2012, 2013, 2014, 2015, </v>
      </c>
      <c r="AY108" s="29"/>
      <c r="AZ108" s="29"/>
      <c r="BA108" s="29"/>
      <c r="BB108" s="29"/>
    </row>
    <row r="109" spans="1:54" x14ac:dyDescent="0.2">
      <c r="A109" s="24">
        <f t="shared" si="16"/>
        <v>106</v>
      </c>
      <c r="B109" s="25" t="s">
        <v>262</v>
      </c>
      <c r="C109" s="62" t="s">
        <v>263</v>
      </c>
      <c r="D109" s="25" t="s">
        <v>53</v>
      </c>
      <c r="E109" s="25">
        <v>0</v>
      </c>
      <c r="F109" s="25">
        <v>1</v>
      </c>
      <c r="G109" s="25">
        <v>0</v>
      </c>
      <c r="H109" s="25">
        <v>0</v>
      </c>
      <c r="I109" s="25">
        <v>1</v>
      </c>
      <c r="J109" s="25">
        <v>0</v>
      </c>
      <c r="K109" s="25">
        <v>0</v>
      </c>
      <c r="L109" s="25">
        <v>0</v>
      </c>
      <c r="M109" s="25">
        <v>0</v>
      </c>
      <c r="N109" s="25">
        <v>1</v>
      </c>
      <c r="O109" s="25">
        <v>0</v>
      </c>
      <c r="P109" s="25">
        <v>0</v>
      </c>
      <c r="Q109" s="25">
        <v>0</v>
      </c>
      <c r="R109" s="25">
        <v>0</v>
      </c>
      <c r="S109" s="25">
        <v>0</v>
      </c>
      <c r="T109" s="25">
        <v>0</v>
      </c>
      <c r="U109" s="39">
        <v>1</v>
      </c>
      <c r="V109" s="31">
        <v>0</v>
      </c>
      <c r="W109" s="25">
        <v>0</v>
      </c>
      <c r="X109" s="25">
        <v>0</v>
      </c>
      <c r="Y109" s="25">
        <v>0</v>
      </c>
      <c r="Z109" s="39">
        <v>1</v>
      </c>
      <c r="AA109" s="25">
        <v>0</v>
      </c>
      <c r="AB109" s="25">
        <v>0</v>
      </c>
      <c r="AC109" s="27">
        <v>0</v>
      </c>
      <c r="AD109" s="28">
        <v>0</v>
      </c>
      <c r="AE109" s="30">
        <v>1</v>
      </c>
      <c r="AF109" s="25">
        <v>0</v>
      </c>
      <c r="AG109" s="29">
        <v>0</v>
      </c>
      <c r="AH109" s="30">
        <v>1</v>
      </c>
      <c r="AI109" s="25">
        <v>0</v>
      </c>
      <c r="AJ109" s="29">
        <v>0</v>
      </c>
      <c r="AK109" s="30">
        <v>1</v>
      </c>
      <c r="AL109" s="29">
        <v>0</v>
      </c>
      <c r="AM109" s="32">
        <v>0</v>
      </c>
      <c r="AN109" s="36">
        <v>0</v>
      </c>
      <c r="AO109" s="66">
        <v>0</v>
      </c>
      <c r="AP109" s="66">
        <v>0</v>
      </c>
      <c r="AQ109" s="66">
        <v>0</v>
      </c>
      <c r="AR109" s="66"/>
      <c r="AS109" s="66"/>
      <c r="AX109" s="34" t="str">
        <f t="shared" si="17"/>
        <v xml:space="preserve">1985, 1988, 1993, 2000, 2005, 2010, 2013, 2016, </v>
      </c>
      <c r="AY109" s="29"/>
      <c r="AZ109" s="29"/>
      <c r="BA109" s="29"/>
      <c r="BB109" s="29"/>
    </row>
    <row r="110" spans="1:54" x14ac:dyDescent="0.2">
      <c r="A110" s="24">
        <f t="shared" si="16"/>
        <v>107</v>
      </c>
      <c r="B110" s="25" t="s">
        <v>264</v>
      </c>
      <c r="C110" s="34" t="s">
        <v>265</v>
      </c>
      <c r="D110" s="25" t="s">
        <v>53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  <c r="V110" s="25">
        <v>0</v>
      </c>
      <c r="W110" s="39">
        <v>1</v>
      </c>
      <c r="X110" s="25">
        <v>0</v>
      </c>
      <c r="Y110" s="25">
        <v>0</v>
      </c>
      <c r="Z110" s="25">
        <v>0</v>
      </c>
      <c r="AA110" s="25">
        <v>0</v>
      </c>
      <c r="AB110" s="25">
        <v>0</v>
      </c>
      <c r="AC110" s="39">
        <v>1</v>
      </c>
      <c r="AD110" s="28">
        <v>0</v>
      </c>
      <c r="AE110" s="29">
        <v>0</v>
      </c>
      <c r="AF110" s="29">
        <v>0</v>
      </c>
      <c r="AG110" s="29">
        <v>0</v>
      </c>
      <c r="AH110" s="30">
        <v>1</v>
      </c>
      <c r="AI110" s="25">
        <v>0</v>
      </c>
      <c r="AJ110" s="29">
        <v>0</v>
      </c>
      <c r="AK110" s="29">
        <v>0</v>
      </c>
      <c r="AL110" s="29">
        <v>0</v>
      </c>
      <c r="AM110" s="32">
        <v>0</v>
      </c>
      <c r="AN110" s="33">
        <v>1</v>
      </c>
      <c r="AO110" s="66">
        <v>0</v>
      </c>
      <c r="AP110" s="66">
        <v>0</v>
      </c>
      <c r="AQ110" s="66">
        <v>0</v>
      </c>
      <c r="AR110" s="66"/>
      <c r="AS110" s="66"/>
      <c r="AX110" s="34" t="str">
        <f t="shared" si="17"/>
        <v xml:space="preserve">2002, 2008, 2013, 2019, </v>
      </c>
      <c r="AY110" s="29"/>
      <c r="AZ110" s="29"/>
      <c r="BA110" s="29"/>
      <c r="BB110" s="29"/>
    </row>
    <row r="111" spans="1:54" x14ac:dyDescent="0.2">
      <c r="A111" s="24">
        <f t="shared" si="16"/>
        <v>108</v>
      </c>
      <c r="B111" s="25" t="s">
        <v>266</v>
      </c>
      <c r="C111" s="62" t="s">
        <v>267</v>
      </c>
      <c r="D111" s="25" t="s">
        <v>53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25">
        <v>0</v>
      </c>
      <c r="L111" s="25">
        <v>0</v>
      </c>
      <c r="M111" s="25">
        <v>0</v>
      </c>
      <c r="N111" s="25">
        <v>0</v>
      </c>
      <c r="O111" s="25">
        <v>0</v>
      </c>
      <c r="P111" s="25">
        <v>1</v>
      </c>
      <c r="Q111" s="25">
        <v>0</v>
      </c>
      <c r="R111" s="25">
        <v>0</v>
      </c>
      <c r="S111" s="25">
        <v>0</v>
      </c>
      <c r="T111" s="25">
        <v>0</v>
      </c>
      <c r="U111" s="39">
        <v>1</v>
      </c>
      <c r="V111" s="25">
        <v>0</v>
      </c>
      <c r="W111" s="25">
        <v>0</v>
      </c>
      <c r="X111" s="25">
        <v>0</v>
      </c>
      <c r="Y111" s="25">
        <v>0</v>
      </c>
      <c r="Z111" s="25">
        <v>0</v>
      </c>
      <c r="AA111" s="25">
        <v>0</v>
      </c>
      <c r="AB111" s="25">
        <v>0</v>
      </c>
      <c r="AC111" s="27">
        <v>0</v>
      </c>
      <c r="AD111" s="28">
        <v>0</v>
      </c>
      <c r="AE111" s="30">
        <v>1</v>
      </c>
      <c r="AF111" s="29">
        <v>0</v>
      </c>
      <c r="AG111" s="29">
        <v>0</v>
      </c>
      <c r="AH111" s="29">
        <v>0</v>
      </c>
      <c r="AI111" s="29">
        <v>0</v>
      </c>
      <c r="AJ111" s="29">
        <v>0</v>
      </c>
      <c r="AK111" s="29">
        <v>0</v>
      </c>
      <c r="AL111" s="30">
        <v>1</v>
      </c>
      <c r="AM111" s="32">
        <v>0</v>
      </c>
      <c r="AN111" s="36">
        <v>0</v>
      </c>
      <c r="AO111" s="66">
        <v>0</v>
      </c>
      <c r="AP111" s="66">
        <v>0</v>
      </c>
      <c r="AQ111" s="66">
        <v>0</v>
      </c>
      <c r="AR111" s="66"/>
      <c r="AS111" s="66"/>
      <c r="AX111" s="34" t="str">
        <f t="shared" si="17"/>
        <v xml:space="preserve">1995, 2000, 2010, 2017, </v>
      </c>
      <c r="AY111" s="29"/>
      <c r="AZ111" s="29"/>
      <c r="BA111" s="29"/>
      <c r="BB111" s="29"/>
    </row>
    <row r="112" spans="1:54" x14ac:dyDescent="0.2">
      <c r="A112" s="24">
        <f t="shared" si="16"/>
        <v>109</v>
      </c>
      <c r="B112" s="25" t="s">
        <v>268</v>
      </c>
      <c r="C112" s="34" t="s">
        <v>269</v>
      </c>
      <c r="D112" s="25" t="s">
        <v>53</v>
      </c>
      <c r="E112" s="25">
        <v>0</v>
      </c>
      <c r="F112" s="25">
        <v>0</v>
      </c>
      <c r="G112" s="25">
        <v>0</v>
      </c>
      <c r="H112" s="25">
        <v>0</v>
      </c>
      <c r="I112" s="25">
        <v>0</v>
      </c>
      <c r="J112" s="25">
        <v>0</v>
      </c>
      <c r="K112" s="25">
        <v>0</v>
      </c>
      <c r="L112" s="25">
        <v>2</v>
      </c>
      <c r="M112" s="25">
        <v>0</v>
      </c>
      <c r="N112" s="25">
        <v>0</v>
      </c>
      <c r="O112" s="25">
        <v>1</v>
      </c>
      <c r="P112" s="25">
        <v>1</v>
      </c>
      <c r="Q112" s="25">
        <v>0</v>
      </c>
      <c r="R112" s="25">
        <v>0</v>
      </c>
      <c r="S112" s="25">
        <v>0</v>
      </c>
      <c r="T112" s="25">
        <v>0</v>
      </c>
      <c r="U112" s="25">
        <v>0</v>
      </c>
      <c r="V112" s="39">
        <v>1</v>
      </c>
      <c r="W112" s="25">
        <v>0</v>
      </c>
      <c r="X112" s="25">
        <v>0</v>
      </c>
      <c r="Y112" s="25">
        <v>0</v>
      </c>
      <c r="Z112" s="39">
        <v>1</v>
      </c>
      <c r="AA112" s="25">
        <v>0</v>
      </c>
      <c r="AB112" s="25">
        <v>0</v>
      </c>
      <c r="AC112" s="27">
        <v>0</v>
      </c>
      <c r="AD112" s="41">
        <v>1</v>
      </c>
      <c r="AE112" s="29">
        <v>0</v>
      </c>
      <c r="AF112" s="30">
        <v>1</v>
      </c>
      <c r="AG112" s="29">
        <v>0</v>
      </c>
      <c r="AH112" s="29">
        <v>0</v>
      </c>
      <c r="AI112" s="29">
        <v>0</v>
      </c>
      <c r="AJ112" s="29">
        <v>0</v>
      </c>
      <c r="AK112" s="29">
        <v>0</v>
      </c>
      <c r="AL112" s="29">
        <v>0</v>
      </c>
      <c r="AM112" s="37">
        <v>1</v>
      </c>
      <c r="AN112" s="36">
        <v>0</v>
      </c>
      <c r="AO112" s="66">
        <v>0</v>
      </c>
      <c r="AP112" s="66">
        <v>0</v>
      </c>
      <c r="AQ112" s="66">
        <v>0</v>
      </c>
      <c r="AR112" s="66"/>
      <c r="AS112" s="66"/>
      <c r="AX112" s="34" t="str">
        <f t="shared" si="17"/>
        <v xml:space="preserve">1991, 1994, 1995, 2001, 2005, 2009, 2011, 2018, </v>
      </c>
      <c r="AY112" s="29"/>
      <c r="AZ112" s="29"/>
      <c r="BA112" s="29"/>
      <c r="BB112" s="29"/>
    </row>
    <row r="113" spans="1:54" x14ac:dyDescent="0.2">
      <c r="A113" s="24">
        <f t="shared" si="16"/>
        <v>110</v>
      </c>
      <c r="B113" s="25" t="s">
        <v>270</v>
      </c>
      <c r="C113" s="59" t="s">
        <v>271</v>
      </c>
      <c r="D113" s="25" t="s">
        <v>53</v>
      </c>
      <c r="E113" s="25">
        <v>0</v>
      </c>
      <c r="F113" s="25">
        <v>0</v>
      </c>
      <c r="G113" s="25">
        <v>0</v>
      </c>
      <c r="H113" s="25">
        <v>0</v>
      </c>
      <c r="I113" s="25">
        <v>0</v>
      </c>
      <c r="J113" s="25">
        <v>0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25">
        <v>0</v>
      </c>
      <c r="S113" s="25">
        <v>0</v>
      </c>
      <c r="T113" s="25">
        <v>0</v>
      </c>
      <c r="U113" s="25">
        <v>0</v>
      </c>
      <c r="V113" s="25">
        <v>0</v>
      </c>
      <c r="W113" s="31">
        <v>0</v>
      </c>
      <c r="X113" s="39">
        <v>1</v>
      </c>
      <c r="Y113" s="39">
        <v>1</v>
      </c>
      <c r="Z113" s="39">
        <v>1</v>
      </c>
      <c r="AA113" s="39">
        <v>1</v>
      </c>
      <c r="AB113" s="39">
        <v>1</v>
      </c>
      <c r="AC113" s="39">
        <v>1</v>
      </c>
      <c r="AD113" s="39">
        <v>1</v>
      </c>
      <c r="AE113" s="30">
        <v>1</v>
      </c>
      <c r="AF113" s="29">
        <v>0</v>
      </c>
      <c r="AG113" s="29">
        <v>0</v>
      </c>
      <c r="AH113" s="30">
        <v>2</v>
      </c>
      <c r="AI113" s="35">
        <v>1</v>
      </c>
      <c r="AJ113" s="30">
        <v>1</v>
      </c>
      <c r="AK113" s="30">
        <v>1</v>
      </c>
      <c r="AL113" s="30">
        <v>2</v>
      </c>
      <c r="AM113" s="56">
        <v>2</v>
      </c>
      <c r="AN113" s="56">
        <v>1</v>
      </c>
      <c r="AO113" s="66">
        <v>0</v>
      </c>
      <c r="AP113" s="66">
        <v>0</v>
      </c>
      <c r="AQ113" s="66">
        <v>0</v>
      </c>
      <c r="AR113" s="66"/>
      <c r="AS113" s="66"/>
      <c r="AX113" s="34" t="str">
        <f t="shared" si="17"/>
        <v xml:space="preserve">2003, 2004, 2005, 2006, 2007, 2008, 2009, 2010, 2013, 2014, 2015, 2016, 2017, 2018, 2019, </v>
      </c>
      <c r="AY113" s="29"/>
      <c r="AZ113" s="29"/>
      <c r="BA113" s="29"/>
      <c r="BB113" s="29"/>
    </row>
    <row r="114" spans="1:54" x14ac:dyDescent="0.2">
      <c r="A114" s="24">
        <f t="shared" si="16"/>
        <v>111</v>
      </c>
      <c r="B114" s="25" t="s">
        <v>272</v>
      </c>
      <c r="C114" s="34" t="s">
        <v>273</v>
      </c>
      <c r="D114" s="25" t="s">
        <v>53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>
        <v>0</v>
      </c>
      <c r="T114" s="25">
        <v>1</v>
      </c>
      <c r="U114" s="35">
        <v>1</v>
      </c>
      <c r="V114" s="25">
        <v>0</v>
      </c>
      <c r="W114" s="25">
        <v>0</v>
      </c>
      <c r="X114" s="25">
        <v>0</v>
      </c>
      <c r="Y114" s="25">
        <v>0</v>
      </c>
      <c r="Z114" s="25">
        <v>0</v>
      </c>
      <c r="AA114" s="39">
        <v>1</v>
      </c>
      <c r="AB114" s="25">
        <v>0</v>
      </c>
      <c r="AC114" s="27">
        <v>0</v>
      </c>
      <c r="AD114" s="28">
        <v>0</v>
      </c>
      <c r="AE114" s="29">
        <v>0</v>
      </c>
      <c r="AF114" s="29">
        <v>0</v>
      </c>
      <c r="AG114" s="29">
        <v>0</v>
      </c>
      <c r="AH114" s="30">
        <v>1</v>
      </c>
      <c r="AI114" s="29">
        <v>0</v>
      </c>
      <c r="AJ114" s="29">
        <v>0</v>
      </c>
      <c r="AK114" s="29">
        <v>0</v>
      </c>
      <c r="AL114" s="29">
        <v>0</v>
      </c>
      <c r="AM114" s="32">
        <v>0</v>
      </c>
      <c r="AN114" s="36">
        <v>0</v>
      </c>
      <c r="AO114" s="66">
        <v>0</v>
      </c>
      <c r="AP114" s="66">
        <v>0</v>
      </c>
      <c r="AQ114" s="66">
        <v>0</v>
      </c>
      <c r="AR114" s="66"/>
      <c r="AS114" s="66"/>
      <c r="AX114" s="34" t="str">
        <f t="shared" si="17"/>
        <v xml:space="preserve">1999, 2000, 2006, 2013, </v>
      </c>
      <c r="AY114" s="29"/>
      <c r="AZ114" s="29"/>
      <c r="BA114" s="29"/>
      <c r="BB114" s="29"/>
    </row>
    <row r="115" spans="1:54" x14ac:dyDescent="0.2">
      <c r="A115" s="24">
        <f t="shared" si="16"/>
        <v>112</v>
      </c>
      <c r="B115" s="25" t="s">
        <v>274</v>
      </c>
      <c r="C115" s="34" t="s">
        <v>275</v>
      </c>
      <c r="D115" s="25" t="s">
        <v>53</v>
      </c>
      <c r="E115" s="25">
        <v>0</v>
      </c>
      <c r="F115" s="25">
        <v>0</v>
      </c>
      <c r="G115" s="25">
        <v>0</v>
      </c>
      <c r="H115" s="25">
        <v>0</v>
      </c>
      <c r="I115" s="25">
        <v>0</v>
      </c>
      <c r="J115" s="25">
        <v>1</v>
      </c>
      <c r="K115" s="25">
        <v>1</v>
      </c>
      <c r="L115" s="25">
        <v>0</v>
      </c>
      <c r="M115" s="25">
        <v>0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>
        <v>0</v>
      </c>
      <c r="T115" s="25">
        <v>0</v>
      </c>
      <c r="U115" s="25">
        <v>0</v>
      </c>
      <c r="V115" s="25">
        <v>0</v>
      </c>
      <c r="W115" s="25">
        <v>0</v>
      </c>
      <c r="X115" s="35">
        <v>1</v>
      </c>
      <c r="Y115" s="31">
        <v>0</v>
      </c>
      <c r="Z115" s="25">
        <v>0</v>
      </c>
      <c r="AA115" s="25">
        <v>0</v>
      </c>
      <c r="AB115" s="25">
        <v>0</v>
      </c>
      <c r="AC115" s="27">
        <v>0</v>
      </c>
      <c r="AD115" s="28">
        <v>0</v>
      </c>
      <c r="AE115" s="29">
        <v>0</v>
      </c>
      <c r="AF115" s="30">
        <v>1</v>
      </c>
      <c r="AG115" s="29">
        <v>0</v>
      </c>
      <c r="AH115" s="29">
        <v>0</v>
      </c>
      <c r="AI115" s="29">
        <v>0</v>
      </c>
      <c r="AJ115" s="29">
        <v>0</v>
      </c>
      <c r="AK115" s="29">
        <v>0</v>
      </c>
      <c r="AL115" s="29">
        <v>0</v>
      </c>
      <c r="AM115" s="37">
        <v>1</v>
      </c>
      <c r="AN115" s="36">
        <v>0</v>
      </c>
      <c r="AO115" s="66">
        <v>0</v>
      </c>
      <c r="AP115" s="66">
        <v>0</v>
      </c>
      <c r="AQ115" s="66">
        <v>0</v>
      </c>
      <c r="AR115" s="66"/>
      <c r="AS115" s="66"/>
      <c r="AX115" s="34" t="str">
        <f t="shared" si="17"/>
        <v xml:space="preserve">1989, 1990, 2003, 2011, 2018, </v>
      </c>
      <c r="AY115" s="29"/>
      <c r="AZ115" s="29"/>
      <c r="BA115" s="29"/>
      <c r="BB115" s="29"/>
    </row>
    <row r="116" spans="1:54" x14ac:dyDescent="0.2">
      <c r="A116" s="24">
        <f t="shared" si="16"/>
        <v>113</v>
      </c>
      <c r="B116" s="25" t="s">
        <v>276</v>
      </c>
      <c r="C116" s="62" t="s">
        <v>277</v>
      </c>
      <c r="D116" s="25" t="s">
        <v>53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5">
        <v>0</v>
      </c>
      <c r="M116" s="25">
        <v>0</v>
      </c>
      <c r="N116" s="25">
        <v>0</v>
      </c>
      <c r="O116" s="25">
        <v>0</v>
      </c>
      <c r="P116" s="25">
        <v>0</v>
      </c>
      <c r="Q116" s="25">
        <v>0</v>
      </c>
      <c r="R116" s="25">
        <v>0</v>
      </c>
      <c r="S116" s="25">
        <v>0</v>
      </c>
      <c r="T116" s="25">
        <v>0</v>
      </c>
      <c r="U116" s="25">
        <v>0</v>
      </c>
      <c r="V116" s="25">
        <v>0</v>
      </c>
      <c r="W116" s="25">
        <v>0</v>
      </c>
      <c r="X116" s="25">
        <v>0</v>
      </c>
      <c r="Y116" s="25">
        <v>0</v>
      </c>
      <c r="Z116" s="35">
        <v>1</v>
      </c>
      <c r="AA116" s="25">
        <v>0</v>
      </c>
      <c r="AB116" s="25">
        <v>0</v>
      </c>
      <c r="AC116" s="27">
        <v>0</v>
      </c>
      <c r="AD116" s="28">
        <v>0</v>
      </c>
      <c r="AE116" s="29">
        <v>0</v>
      </c>
      <c r="AF116" s="29">
        <v>0</v>
      </c>
      <c r="AG116" s="30">
        <v>1</v>
      </c>
      <c r="AH116" s="25">
        <v>0</v>
      </c>
      <c r="AI116" s="25">
        <v>0</v>
      </c>
      <c r="AJ116" s="29">
        <v>0</v>
      </c>
      <c r="AK116" s="29">
        <v>0</v>
      </c>
      <c r="AL116" s="29">
        <v>0</v>
      </c>
      <c r="AM116" s="32">
        <v>0</v>
      </c>
      <c r="AN116" s="36">
        <v>0</v>
      </c>
      <c r="AO116" s="66">
        <v>0</v>
      </c>
      <c r="AP116" s="66">
        <v>0</v>
      </c>
      <c r="AQ116" s="66">
        <v>0</v>
      </c>
      <c r="AR116" s="66"/>
      <c r="AS116" s="66"/>
      <c r="AX116" s="34" t="str">
        <f t="shared" si="17"/>
        <v xml:space="preserve">2005, 2012, </v>
      </c>
      <c r="AY116" s="29"/>
      <c r="AZ116" s="29"/>
      <c r="BA116" s="29"/>
      <c r="BB116" s="29"/>
    </row>
    <row r="117" spans="1:54" x14ac:dyDescent="0.2">
      <c r="A117" s="24">
        <f t="shared" si="16"/>
        <v>114</v>
      </c>
      <c r="B117" s="25" t="s">
        <v>278</v>
      </c>
      <c r="C117" s="34" t="s">
        <v>279</v>
      </c>
      <c r="D117" s="25" t="s">
        <v>53</v>
      </c>
      <c r="E117" s="25">
        <v>0</v>
      </c>
      <c r="F117" s="25">
        <v>1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  <c r="Q117" s="25">
        <v>0</v>
      </c>
      <c r="R117" s="25">
        <v>0</v>
      </c>
      <c r="S117" s="25">
        <v>0</v>
      </c>
      <c r="T117" s="25">
        <v>0</v>
      </c>
      <c r="U117" s="25">
        <v>0</v>
      </c>
      <c r="V117" s="25">
        <v>0</v>
      </c>
      <c r="W117" s="25">
        <v>0</v>
      </c>
      <c r="X117" s="25">
        <v>0</v>
      </c>
      <c r="Y117" s="25">
        <v>0</v>
      </c>
      <c r="Z117" s="25">
        <v>0</v>
      </c>
      <c r="AA117" s="25">
        <v>0</v>
      </c>
      <c r="AB117" s="25">
        <v>0</v>
      </c>
      <c r="AC117" s="27">
        <v>0</v>
      </c>
      <c r="AD117" s="28">
        <v>0</v>
      </c>
      <c r="AE117" s="29">
        <v>0</v>
      </c>
      <c r="AF117" s="29">
        <v>0</v>
      </c>
      <c r="AG117" s="29">
        <v>0</v>
      </c>
      <c r="AH117" s="25">
        <v>0</v>
      </c>
      <c r="AI117" s="25">
        <v>0</v>
      </c>
      <c r="AJ117" s="25">
        <v>0</v>
      </c>
      <c r="AK117" s="25">
        <v>0</v>
      </c>
      <c r="AL117" s="25">
        <v>0</v>
      </c>
      <c r="AM117" s="32">
        <v>0</v>
      </c>
      <c r="AN117" s="36">
        <v>0</v>
      </c>
      <c r="AO117" s="66">
        <v>0</v>
      </c>
      <c r="AP117" s="66">
        <v>0</v>
      </c>
      <c r="AQ117" s="66">
        <v>0</v>
      </c>
      <c r="AR117" s="66"/>
      <c r="AS117" s="66"/>
      <c r="AX117" s="34" t="str">
        <f t="shared" si="17"/>
        <v xml:space="preserve">1985, </v>
      </c>
      <c r="AY117" s="29"/>
      <c r="AZ117" s="29"/>
      <c r="BA117" s="29"/>
      <c r="BB117" s="29"/>
    </row>
    <row r="118" spans="1:54" x14ac:dyDescent="0.2">
      <c r="A118" s="24">
        <f t="shared" si="16"/>
        <v>115</v>
      </c>
      <c r="B118" s="25" t="s">
        <v>280</v>
      </c>
      <c r="C118" s="63" t="s">
        <v>281</v>
      </c>
      <c r="D118" s="25" t="s">
        <v>53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5">
        <v>0</v>
      </c>
      <c r="M118" s="25">
        <v>0</v>
      </c>
      <c r="N118" s="25">
        <v>2</v>
      </c>
      <c r="O118" s="25">
        <v>0</v>
      </c>
      <c r="P118" s="25">
        <v>3</v>
      </c>
      <c r="Q118" s="25">
        <v>0</v>
      </c>
      <c r="R118" s="25">
        <v>0</v>
      </c>
      <c r="S118" s="25">
        <v>0</v>
      </c>
      <c r="T118" s="25">
        <v>0</v>
      </c>
      <c r="U118" s="35">
        <v>1</v>
      </c>
      <c r="V118" s="25">
        <v>0</v>
      </c>
      <c r="W118" s="25">
        <v>0</v>
      </c>
      <c r="X118" s="25">
        <v>0</v>
      </c>
      <c r="Y118" s="25">
        <v>0</v>
      </c>
      <c r="Z118" s="35">
        <v>2</v>
      </c>
      <c r="AA118" s="25">
        <v>0</v>
      </c>
      <c r="AB118" s="25">
        <v>0</v>
      </c>
      <c r="AC118" s="41">
        <v>2</v>
      </c>
      <c r="AD118" s="41">
        <v>1</v>
      </c>
      <c r="AE118" s="35">
        <v>3</v>
      </c>
      <c r="AF118" s="35">
        <v>1</v>
      </c>
      <c r="AG118" s="35">
        <v>2</v>
      </c>
      <c r="AH118" s="35">
        <v>1</v>
      </c>
      <c r="AI118" s="35">
        <v>3</v>
      </c>
      <c r="AJ118" s="35">
        <v>1</v>
      </c>
      <c r="AK118" s="35">
        <v>1</v>
      </c>
      <c r="AL118" s="35">
        <v>1</v>
      </c>
      <c r="AM118" s="64">
        <v>1</v>
      </c>
      <c r="AN118" s="72">
        <v>1</v>
      </c>
      <c r="AO118" s="66">
        <v>0</v>
      </c>
      <c r="AP118" s="66">
        <v>0</v>
      </c>
      <c r="AQ118" s="66">
        <v>0</v>
      </c>
      <c r="AR118" s="66"/>
      <c r="AS118" s="66"/>
      <c r="AX118" s="34" t="str">
        <f t="shared" si="17"/>
        <v xml:space="preserve">1993, 1995, 2000, 2005, 2008, 2009, 2010, 2011, 2012, 2013, 2014, 2015, 2016, 2017, 2018, 2019, </v>
      </c>
      <c r="AY118" s="29"/>
      <c r="AZ118" s="29"/>
      <c r="BA118" s="29"/>
      <c r="BB118" s="29"/>
    </row>
    <row r="119" spans="1:54" x14ac:dyDescent="0.2">
      <c r="A119" s="24">
        <f t="shared" si="16"/>
        <v>116</v>
      </c>
      <c r="B119" s="25" t="s">
        <v>282</v>
      </c>
      <c r="C119" s="62" t="s">
        <v>283</v>
      </c>
      <c r="D119" s="25" t="s">
        <v>53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5">
        <v>0</v>
      </c>
      <c r="O119" s="25">
        <v>0</v>
      </c>
      <c r="P119" s="25">
        <v>0</v>
      </c>
      <c r="Q119" s="25">
        <v>0</v>
      </c>
      <c r="R119" s="25">
        <v>0</v>
      </c>
      <c r="S119" s="25">
        <v>0</v>
      </c>
      <c r="T119" s="25">
        <v>0</v>
      </c>
      <c r="U119" s="25">
        <v>0</v>
      </c>
      <c r="V119" s="25">
        <v>0</v>
      </c>
      <c r="W119" s="25">
        <v>0</v>
      </c>
      <c r="X119" s="25">
        <v>0</v>
      </c>
      <c r="Y119" s="25">
        <v>0</v>
      </c>
      <c r="Z119" s="25">
        <v>0</v>
      </c>
      <c r="AA119" s="25">
        <v>0</v>
      </c>
      <c r="AB119" s="25">
        <v>0</v>
      </c>
      <c r="AC119" s="27">
        <v>0</v>
      </c>
      <c r="AD119" s="39">
        <v>1</v>
      </c>
      <c r="AE119" s="29">
        <v>0</v>
      </c>
      <c r="AF119" s="29">
        <v>0</v>
      </c>
      <c r="AG119" s="25">
        <v>0</v>
      </c>
      <c r="AH119" s="25">
        <v>0</v>
      </c>
      <c r="AI119" s="25">
        <v>0</v>
      </c>
      <c r="AJ119" s="25">
        <v>0</v>
      </c>
      <c r="AK119" s="25">
        <v>0</v>
      </c>
      <c r="AL119" s="25">
        <v>0</v>
      </c>
      <c r="AM119" s="32">
        <v>0</v>
      </c>
      <c r="AN119" s="36">
        <v>0</v>
      </c>
      <c r="AO119" s="66">
        <v>0</v>
      </c>
      <c r="AP119" s="66">
        <v>0</v>
      </c>
      <c r="AQ119" s="66">
        <v>0</v>
      </c>
      <c r="AR119" s="66"/>
      <c r="AS119" s="66"/>
      <c r="AX119" s="34" t="str">
        <f t="shared" si="17"/>
        <v xml:space="preserve">2009, </v>
      </c>
      <c r="AY119" s="29"/>
      <c r="AZ119" s="29"/>
      <c r="BA119" s="29"/>
      <c r="BB119" s="29"/>
    </row>
    <row r="120" spans="1:54" x14ac:dyDescent="0.2">
      <c r="A120" s="24">
        <f t="shared" si="16"/>
        <v>117</v>
      </c>
      <c r="B120" s="25" t="s">
        <v>284</v>
      </c>
      <c r="C120" s="62" t="s">
        <v>285</v>
      </c>
      <c r="D120" s="25" t="s">
        <v>53</v>
      </c>
      <c r="E120" s="25">
        <v>0</v>
      </c>
      <c r="F120" s="25">
        <v>2</v>
      </c>
      <c r="G120" s="25">
        <v>0</v>
      </c>
      <c r="H120" s="25">
        <v>0</v>
      </c>
      <c r="I120" s="25">
        <v>0</v>
      </c>
      <c r="J120" s="25">
        <v>0</v>
      </c>
      <c r="K120" s="25">
        <v>2</v>
      </c>
      <c r="L120" s="25">
        <v>0</v>
      </c>
      <c r="M120" s="25">
        <v>0</v>
      </c>
      <c r="N120" s="25">
        <v>0</v>
      </c>
      <c r="O120" s="25">
        <v>0</v>
      </c>
      <c r="P120" s="25">
        <v>0</v>
      </c>
      <c r="Q120" s="25">
        <v>0</v>
      </c>
      <c r="R120" s="25">
        <v>0</v>
      </c>
      <c r="S120" s="25">
        <v>0</v>
      </c>
      <c r="T120" s="25">
        <v>0</v>
      </c>
      <c r="U120" s="25">
        <v>0</v>
      </c>
      <c r="V120" s="39">
        <v>1</v>
      </c>
      <c r="W120" s="25">
        <v>0</v>
      </c>
      <c r="X120" s="25">
        <v>0</v>
      </c>
      <c r="Y120" s="25">
        <v>0</v>
      </c>
      <c r="Z120" s="25">
        <v>0</v>
      </c>
      <c r="AA120" s="39">
        <v>1</v>
      </c>
      <c r="AB120" s="31">
        <v>0</v>
      </c>
      <c r="AC120" s="27">
        <v>0</v>
      </c>
      <c r="AD120" s="30">
        <v>1</v>
      </c>
      <c r="AE120" s="25">
        <v>0</v>
      </c>
      <c r="AF120" s="29">
        <v>0</v>
      </c>
      <c r="AG120" s="30">
        <v>1</v>
      </c>
      <c r="AH120" s="25">
        <v>0</v>
      </c>
      <c r="AI120" s="29">
        <v>0</v>
      </c>
      <c r="AJ120" s="29">
        <v>0</v>
      </c>
      <c r="AK120" s="30">
        <v>1</v>
      </c>
      <c r="AL120" s="29">
        <v>0</v>
      </c>
      <c r="AM120" s="32">
        <v>0</v>
      </c>
      <c r="AN120" s="36">
        <v>0</v>
      </c>
      <c r="AO120" s="66">
        <v>0</v>
      </c>
      <c r="AP120" s="66">
        <v>0</v>
      </c>
      <c r="AQ120" s="66">
        <v>0</v>
      </c>
      <c r="AR120" s="66"/>
      <c r="AS120" s="66"/>
      <c r="AX120" s="34" t="str">
        <f t="shared" si="17"/>
        <v xml:space="preserve">1985, 1990, 2001, 2006, 2009, 2012, 2016, </v>
      </c>
      <c r="AY120" s="29"/>
      <c r="AZ120" s="29"/>
      <c r="BA120" s="29"/>
      <c r="BB120" s="29"/>
    </row>
    <row r="121" spans="1:54" x14ac:dyDescent="0.2">
      <c r="A121" s="24">
        <f t="shared" si="16"/>
        <v>118</v>
      </c>
      <c r="B121" s="25" t="s">
        <v>286</v>
      </c>
      <c r="C121" s="26" t="s">
        <v>287</v>
      </c>
      <c r="D121" s="25" t="s">
        <v>53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5">
        <v>0</v>
      </c>
      <c r="O121" s="25">
        <v>0</v>
      </c>
      <c r="P121" s="25">
        <v>0</v>
      </c>
      <c r="Q121" s="25">
        <v>0</v>
      </c>
      <c r="R121" s="25">
        <v>0</v>
      </c>
      <c r="S121" s="25">
        <v>0</v>
      </c>
      <c r="T121" s="25">
        <v>0</v>
      </c>
      <c r="U121" s="25">
        <v>0</v>
      </c>
      <c r="V121" s="25">
        <v>0</v>
      </c>
      <c r="W121" s="25">
        <v>0</v>
      </c>
      <c r="X121" s="25">
        <v>0</v>
      </c>
      <c r="Y121" s="25">
        <v>0</v>
      </c>
      <c r="Z121" s="25">
        <v>0</v>
      </c>
      <c r="AA121" s="25">
        <v>0</v>
      </c>
      <c r="AB121" s="25">
        <v>0</v>
      </c>
      <c r="AC121" s="27">
        <v>0</v>
      </c>
      <c r="AD121" s="28">
        <v>0</v>
      </c>
      <c r="AE121" s="29">
        <v>0</v>
      </c>
      <c r="AF121" s="29">
        <v>0</v>
      </c>
      <c r="AG121" s="29">
        <v>0</v>
      </c>
      <c r="AH121" s="29">
        <v>0</v>
      </c>
      <c r="AI121" s="29">
        <v>0</v>
      </c>
      <c r="AJ121" s="29">
        <v>0</v>
      </c>
      <c r="AK121" s="29">
        <v>0</v>
      </c>
      <c r="AL121" s="30">
        <v>1</v>
      </c>
      <c r="AM121" s="32">
        <v>0</v>
      </c>
      <c r="AN121" s="36">
        <v>0</v>
      </c>
      <c r="AO121" s="66">
        <v>0</v>
      </c>
      <c r="AP121" s="66">
        <v>0</v>
      </c>
      <c r="AQ121" s="66">
        <v>0</v>
      </c>
      <c r="AR121" s="66"/>
      <c r="AS121" s="66"/>
      <c r="AX121" s="34" t="str">
        <f t="shared" si="17"/>
        <v xml:space="preserve">2017, </v>
      </c>
      <c r="AY121" s="29"/>
      <c r="AZ121" s="29"/>
      <c r="BA121" s="29"/>
      <c r="BB121" s="29"/>
    </row>
    <row r="122" spans="1:54" x14ac:dyDescent="0.2">
      <c r="A122" s="24">
        <f t="shared" si="16"/>
        <v>119</v>
      </c>
      <c r="B122" s="25" t="s">
        <v>288</v>
      </c>
      <c r="C122" s="26" t="s">
        <v>289</v>
      </c>
      <c r="D122" s="25" t="s">
        <v>53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5">
        <v>0</v>
      </c>
      <c r="O122" s="25">
        <v>0</v>
      </c>
      <c r="P122" s="25">
        <v>2</v>
      </c>
      <c r="Q122" s="25">
        <v>0</v>
      </c>
      <c r="R122" s="25">
        <v>0</v>
      </c>
      <c r="S122" s="25">
        <v>0</v>
      </c>
      <c r="T122" s="25">
        <v>0</v>
      </c>
      <c r="U122" s="25">
        <v>0</v>
      </c>
      <c r="V122" s="25">
        <v>0</v>
      </c>
      <c r="W122" s="25">
        <v>0</v>
      </c>
      <c r="X122" s="25">
        <v>0</v>
      </c>
      <c r="Y122" s="25">
        <v>0</v>
      </c>
      <c r="Z122" s="39">
        <v>1</v>
      </c>
      <c r="AA122" s="25">
        <v>0</v>
      </c>
      <c r="AB122" s="25">
        <v>0</v>
      </c>
      <c r="AC122" s="27">
        <v>0</v>
      </c>
      <c r="AD122" s="28">
        <v>0</v>
      </c>
      <c r="AE122" s="29">
        <v>0</v>
      </c>
      <c r="AF122" s="29">
        <v>0</v>
      </c>
      <c r="AG122" s="25">
        <v>0</v>
      </c>
      <c r="AH122" s="29">
        <v>0</v>
      </c>
      <c r="AI122" s="29">
        <v>0</v>
      </c>
      <c r="AJ122" s="30">
        <v>1</v>
      </c>
      <c r="AK122" s="29">
        <v>0</v>
      </c>
      <c r="AL122" s="29">
        <v>0</v>
      </c>
      <c r="AM122" s="32">
        <v>0</v>
      </c>
      <c r="AN122" s="36">
        <v>0</v>
      </c>
      <c r="AO122" s="66">
        <v>0</v>
      </c>
      <c r="AP122" s="66">
        <v>0</v>
      </c>
      <c r="AQ122" s="66">
        <v>0</v>
      </c>
      <c r="AR122" s="66"/>
      <c r="AS122" s="66"/>
      <c r="AX122" s="34" t="str">
        <f t="shared" si="17"/>
        <v xml:space="preserve">1995, 2005, 2015, </v>
      </c>
      <c r="AY122" s="29"/>
      <c r="AZ122" s="29"/>
      <c r="BA122" s="29"/>
      <c r="BB122" s="29"/>
    </row>
    <row r="123" spans="1:54" x14ac:dyDescent="0.2">
      <c r="A123" s="24">
        <f t="shared" si="16"/>
        <v>120</v>
      </c>
      <c r="B123" s="25" t="s">
        <v>290</v>
      </c>
      <c r="C123" s="26" t="s">
        <v>291</v>
      </c>
      <c r="D123" s="25" t="s">
        <v>53</v>
      </c>
      <c r="E123" s="25">
        <v>0</v>
      </c>
      <c r="F123" s="25">
        <v>0</v>
      </c>
      <c r="G123" s="25">
        <v>0</v>
      </c>
      <c r="H123" s="25">
        <v>0</v>
      </c>
      <c r="I123" s="25">
        <v>0</v>
      </c>
      <c r="J123" s="25">
        <v>0</v>
      </c>
      <c r="K123" s="25">
        <v>0</v>
      </c>
      <c r="L123" s="25">
        <v>0</v>
      </c>
      <c r="M123" s="25">
        <v>0</v>
      </c>
      <c r="N123" s="25">
        <v>0</v>
      </c>
      <c r="O123" s="25">
        <v>0</v>
      </c>
      <c r="P123" s="25">
        <v>0</v>
      </c>
      <c r="Q123" s="25">
        <v>0</v>
      </c>
      <c r="R123" s="25">
        <v>0</v>
      </c>
      <c r="S123" s="25">
        <v>0</v>
      </c>
      <c r="T123" s="25">
        <v>0</v>
      </c>
      <c r="U123" s="25">
        <v>0</v>
      </c>
      <c r="V123" s="25">
        <v>0</v>
      </c>
      <c r="W123" s="25">
        <v>0</v>
      </c>
      <c r="X123" s="25">
        <v>0</v>
      </c>
      <c r="Y123" s="25">
        <v>0</v>
      </c>
      <c r="Z123" s="25">
        <v>0</v>
      </c>
      <c r="AA123" s="25">
        <v>0</v>
      </c>
      <c r="AB123" s="25">
        <v>0</v>
      </c>
      <c r="AC123" s="27">
        <v>0</v>
      </c>
      <c r="AD123" s="28">
        <v>0</v>
      </c>
      <c r="AE123" s="29">
        <v>0</v>
      </c>
      <c r="AF123" s="29">
        <v>0</v>
      </c>
      <c r="AG123" s="29">
        <v>0</v>
      </c>
      <c r="AH123" s="29">
        <v>0</v>
      </c>
      <c r="AI123" s="29">
        <v>0</v>
      </c>
      <c r="AJ123" s="29">
        <v>0</v>
      </c>
      <c r="AK123" s="29">
        <v>0</v>
      </c>
      <c r="AL123" s="29">
        <v>0</v>
      </c>
      <c r="AM123" s="37">
        <v>1</v>
      </c>
      <c r="AN123" s="36">
        <v>0</v>
      </c>
      <c r="AO123" s="66">
        <v>0</v>
      </c>
      <c r="AP123" s="66">
        <v>0</v>
      </c>
      <c r="AQ123" s="66">
        <v>0</v>
      </c>
      <c r="AR123" s="66"/>
      <c r="AS123" s="66"/>
      <c r="AX123" s="34" t="str">
        <f t="shared" si="17"/>
        <v xml:space="preserve">2018, </v>
      </c>
      <c r="AY123" s="29"/>
      <c r="AZ123" s="29"/>
      <c r="BA123" s="29"/>
      <c r="BB123" s="29"/>
    </row>
    <row r="124" spans="1:54" x14ac:dyDescent="0.2">
      <c r="A124" s="24">
        <f t="shared" si="16"/>
        <v>121</v>
      </c>
      <c r="B124" s="25" t="s">
        <v>292</v>
      </c>
      <c r="C124" s="26" t="s">
        <v>293</v>
      </c>
      <c r="D124" s="25" t="s">
        <v>53</v>
      </c>
      <c r="E124" s="25">
        <v>0</v>
      </c>
      <c r="F124" s="25">
        <v>0</v>
      </c>
      <c r="G124" s="25">
        <v>0</v>
      </c>
      <c r="H124" s="25">
        <v>0</v>
      </c>
      <c r="I124" s="25">
        <v>1</v>
      </c>
      <c r="J124" s="25">
        <v>0</v>
      </c>
      <c r="K124" s="25">
        <v>0</v>
      </c>
      <c r="L124" s="25">
        <v>0</v>
      </c>
      <c r="M124" s="25">
        <v>0</v>
      </c>
      <c r="N124" s="25">
        <v>0</v>
      </c>
      <c r="O124" s="25">
        <v>0</v>
      </c>
      <c r="P124" s="25">
        <v>0</v>
      </c>
      <c r="Q124" s="25">
        <v>0</v>
      </c>
      <c r="R124" s="25">
        <v>0</v>
      </c>
      <c r="S124" s="25">
        <v>0</v>
      </c>
      <c r="T124" s="25">
        <v>0</v>
      </c>
      <c r="U124" s="25">
        <v>0</v>
      </c>
      <c r="V124" s="25">
        <v>0</v>
      </c>
      <c r="W124" s="25">
        <v>0</v>
      </c>
      <c r="X124" s="25">
        <v>0</v>
      </c>
      <c r="Y124" s="25">
        <v>0</v>
      </c>
      <c r="Z124" s="25">
        <v>0</v>
      </c>
      <c r="AA124" s="25">
        <v>0</v>
      </c>
      <c r="AB124" s="25">
        <v>0</v>
      </c>
      <c r="AC124" s="29">
        <v>0</v>
      </c>
      <c r="AD124" s="39">
        <v>1</v>
      </c>
      <c r="AE124" s="29">
        <v>0</v>
      </c>
      <c r="AF124" s="29">
        <v>0</v>
      </c>
      <c r="AG124" s="29">
        <v>0</v>
      </c>
      <c r="AH124" s="29">
        <v>0</v>
      </c>
      <c r="AI124" s="30">
        <v>1</v>
      </c>
      <c r="AJ124" s="29"/>
      <c r="AK124" s="29">
        <v>0</v>
      </c>
      <c r="AL124" s="29">
        <v>0</v>
      </c>
      <c r="AM124" s="32">
        <v>0</v>
      </c>
      <c r="AN124" s="36">
        <v>0</v>
      </c>
      <c r="AO124" s="66">
        <v>0</v>
      </c>
      <c r="AP124" s="66">
        <v>0</v>
      </c>
      <c r="AQ124" s="66">
        <v>0</v>
      </c>
      <c r="AR124" s="66"/>
      <c r="AS124" s="66"/>
      <c r="AX124" s="34" t="str">
        <f t="shared" si="17"/>
        <v xml:space="preserve">1988, 2009, 2014, </v>
      </c>
      <c r="AY124" s="29"/>
      <c r="AZ124" s="29"/>
      <c r="BA124" s="29"/>
      <c r="BB124" s="29"/>
    </row>
    <row r="125" spans="1:54" x14ac:dyDescent="0.2">
      <c r="A125" s="24">
        <f t="shared" si="16"/>
        <v>122</v>
      </c>
      <c r="B125" s="25" t="s">
        <v>294</v>
      </c>
      <c r="C125" s="26" t="s">
        <v>295</v>
      </c>
      <c r="D125" s="25" t="s">
        <v>53</v>
      </c>
      <c r="E125" s="25">
        <v>0</v>
      </c>
      <c r="F125" s="25">
        <v>0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5">
        <v>0</v>
      </c>
      <c r="M125" s="25">
        <v>0</v>
      </c>
      <c r="N125" s="25">
        <v>0</v>
      </c>
      <c r="O125" s="25">
        <v>0</v>
      </c>
      <c r="P125" s="25">
        <v>0</v>
      </c>
      <c r="Q125" s="25">
        <v>0</v>
      </c>
      <c r="R125" s="25">
        <v>0</v>
      </c>
      <c r="S125" s="25">
        <v>0</v>
      </c>
      <c r="T125" s="25">
        <v>1</v>
      </c>
      <c r="U125" s="25">
        <v>0</v>
      </c>
      <c r="V125" s="25">
        <v>0</v>
      </c>
      <c r="W125" s="25">
        <v>0</v>
      </c>
      <c r="X125" s="25">
        <v>0</v>
      </c>
      <c r="Y125" s="25">
        <v>0</v>
      </c>
      <c r="Z125" s="25">
        <v>0</v>
      </c>
      <c r="AA125" s="25">
        <v>0</v>
      </c>
      <c r="AB125" s="25">
        <v>0</v>
      </c>
      <c r="AC125" s="29">
        <v>0</v>
      </c>
      <c r="AD125" s="28">
        <v>0</v>
      </c>
      <c r="AE125" s="29">
        <v>0</v>
      </c>
      <c r="AF125" s="29">
        <v>0</v>
      </c>
      <c r="AG125" s="29">
        <v>0</v>
      </c>
      <c r="AH125" s="49">
        <v>1</v>
      </c>
      <c r="AI125" s="25">
        <v>0</v>
      </c>
      <c r="AJ125" s="29">
        <v>0</v>
      </c>
      <c r="AK125" s="30">
        <v>1</v>
      </c>
      <c r="AL125" s="29">
        <v>0</v>
      </c>
      <c r="AM125" s="32">
        <v>0</v>
      </c>
      <c r="AN125" s="36">
        <v>0</v>
      </c>
      <c r="AO125" s="66">
        <v>0</v>
      </c>
      <c r="AP125" s="66">
        <v>0</v>
      </c>
      <c r="AQ125" s="66">
        <v>0</v>
      </c>
      <c r="AR125" s="66"/>
      <c r="AS125" s="66"/>
      <c r="AX125" s="34" t="str">
        <f t="shared" si="17"/>
        <v xml:space="preserve">1999, 2013, 2016, </v>
      </c>
      <c r="AY125" s="29"/>
      <c r="AZ125" s="29"/>
      <c r="BA125" s="29"/>
      <c r="BB125" s="29"/>
    </row>
    <row r="126" spans="1:54" x14ac:dyDescent="0.2">
      <c r="A126" s="24">
        <f t="shared" si="16"/>
        <v>123</v>
      </c>
      <c r="B126" s="25" t="s">
        <v>296</v>
      </c>
      <c r="C126" s="26" t="s">
        <v>297</v>
      </c>
      <c r="D126" s="25" t="s">
        <v>53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  <c r="Q126" s="25">
        <v>0</v>
      </c>
      <c r="R126" s="25">
        <v>0</v>
      </c>
      <c r="S126" s="25">
        <v>0</v>
      </c>
      <c r="T126" s="25">
        <v>0</v>
      </c>
      <c r="U126" s="25">
        <v>0</v>
      </c>
      <c r="V126" s="25">
        <v>0</v>
      </c>
      <c r="W126" s="25">
        <v>0</v>
      </c>
      <c r="X126" s="35">
        <v>1</v>
      </c>
      <c r="Y126" s="25">
        <v>0</v>
      </c>
      <c r="Z126" s="25">
        <v>0</v>
      </c>
      <c r="AA126" s="25">
        <v>0</v>
      </c>
      <c r="AB126" s="35">
        <v>1</v>
      </c>
      <c r="AC126" s="48">
        <v>1</v>
      </c>
      <c r="AD126" s="29">
        <v>0</v>
      </c>
      <c r="AE126" s="25">
        <v>0</v>
      </c>
      <c r="AF126" s="29">
        <v>0</v>
      </c>
      <c r="AG126" s="29">
        <v>0</v>
      </c>
      <c r="AH126" s="29">
        <v>0</v>
      </c>
      <c r="AI126" s="29">
        <v>0</v>
      </c>
      <c r="AJ126" s="29">
        <v>0</v>
      </c>
      <c r="AK126" s="29">
        <v>0</v>
      </c>
      <c r="AL126" s="29">
        <v>0</v>
      </c>
      <c r="AM126" s="32">
        <v>0</v>
      </c>
      <c r="AN126" s="36">
        <v>0</v>
      </c>
      <c r="AO126" s="66">
        <v>0</v>
      </c>
      <c r="AP126" s="66">
        <v>0</v>
      </c>
      <c r="AQ126" s="66">
        <v>0</v>
      </c>
      <c r="AR126" s="66"/>
      <c r="AS126" s="66"/>
      <c r="AX126" s="34" t="str">
        <f t="shared" si="17"/>
        <v xml:space="preserve">2003, 2007, 2008, </v>
      </c>
      <c r="AY126" s="29"/>
      <c r="AZ126" s="29"/>
      <c r="BA126" s="29"/>
      <c r="BB126" s="29"/>
    </row>
    <row r="127" spans="1:54" x14ac:dyDescent="0.2">
      <c r="A127" s="24">
        <f t="shared" si="16"/>
        <v>124</v>
      </c>
      <c r="B127" s="25" t="s">
        <v>298</v>
      </c>
      <c r="C127" s="26" t="s">
        <v>299</v>
      </c>
      <c r="D127" s="25" t="s">
        <v>53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L127" s="25">
        <v>0</v>
      </c>
      <c r="M127" s="25">
        <v>0</v>
      </c>
      <c r="N127" s="25">
        <v>0</v>
      </c>
      <c r="O127" s="25">
        <v>0</v>
      </c>
      <c r="P127" s="25">
        <v>0</v>
      </c>
      <c r="Q127" s="25">
        <v>0</v>
      </c>
      <c r="R127" s="25">
        <v>0</v>
      </c>
      <c r="S127" s="25">
        <v>0</v>
      </c>
      <c r="T127" s="25">
        <v>1</v>
      </c>
      <c r="U127" s="25">
        <v>0</v>
      </c>
      <c r="V127" s="25">
        <v>0</v>
      </c>
      <c r="W127" s="25">
        <v>0</v>
      </c>
      <c r="X127" s="39">
        <v>1</v>
      </c>
      <c r="Y127" s="39">
        <v>1</v>
      </c>
      <c r="Z127" s="25">
        <v>0</v>
      </c>
      <c r="AA127" s="25">
        <v>0</v>
      </c>
      <c r="AB127" s="39">
        <v>1</v>
      </c>
      <c r="AC127" s="27">
        <v>0</v>
      </c>
      <c r="AD127" s="39">
        <v>1</v>
      </c>
      <c r="AE127" s="35">
        <v>1</v>
      </c>
      <c r="AF127" s="29">
        <v>0</v>
      </c>
      <c r="AG127" s="30">
        <v>1</v>
      </c>
      <c r="AH127" s="30">
        <v>1</v>
      </c>
      <c r="AI127" s="30">
        <v>1</v>
      </c>
      <c r="AJ127" s="30">
        <v>1</v>
      </c>
      <c r="AK127" s="30">
        <v>1</v>
      </c>
      <c r="AL127" s="30">
        <v>1</v>
      </c>
      <c r="AM127" s="32">
        <v>0</v>
      </c>
      <c r="AN127" s="36">
        <v>0</v>
      </c>
      <c r="AO127" s="66">
        <v>0</v>
      </c>
      <c r="AP127" s="66">
        <v>0</v>
      </c>
      <c r="AQ127" s="66">
        <v>0</v>
      </c>
      <c r="AR127" s="66"/>
      <c r="AS127" s="66"/>
      <c r="AX127" s="34" t="str">
        <f t="shared" si="17"/>
        <v xml:space="preserve">1999, 2003, 2004, 2007, 2009, 2010, 2012, 2013, 2014, 2015, 2016, 2017, </v>
      </c>
      <c r="AY127" s="29"/>
      <c r="AZ127" s="29"/>
      <c r="BA127" s="29"/>
      <c r="BB127" s="29"/>
    </row>
    <row r="128" spans="1:54" x14ac:dyDescent="0.2">
      <c r="A128" s="24">
        <f t="shared" si="16"/>
        <v>125</v>
      </c>
      <c r="B128" s="25" t="s">
        <v>300</v>
      </c>
      <c r="C128" s="34" t="s">
        <v>301</v>
      </c>
      <c r="D128" s="25" t="s">
        <v>53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5">
        <v>2</v>
      </c>
      <c r="M128" s="25">
        <v>0</v>
      </c>
      <c r="N128" s="25">
        <v>1</v>
      </c>
      <c r="O128" s="25">
        <v>0</v>
      </c>
      <c r="P128" s="25">
        <v>0</v>
      </c>
      <c r="Q128" s="25">
        <v>0</v>
      </c>
      <c r="R128" s="25">
        <v>0</v>
      </c>
      <c r="S128" s="25">
        <v>0</v>
      </c>
      <c r="T128" s="25">
        <v>0</v>
      </c>
      <c r="U128" s="39">
        <v>1</v>
      </c>
      <c r="V128" s="25">
        <v>0</v>
      </c>
      <c r="W128" s="25">
        <v>0</v>
      </c>
      <c r="X128" s="25">
        <v>0</v>
      </c>
      <c r="Y128" s="25">
        <v>0</v>
      </c>
      <c r="Z128" s="25">
        <v>0</v>
      </c>
      <c r="AA128" s="39">
        <v>1</v>
      </c>
      <c r="AB128" s="49">
        <v>1</v>
      </c>
      <c r="AC128" s="35">
        <v>1</v>
      </c>
      <c r="AD128" s="52">
        <v>0</v>
      </c>
      <c r="AE128" s="35">
        <v>1</v>
      </c>
      <c r="AF128" s="30">
        <v>1</v>
      </c>
      <c r="AG128" s="35">
        <v>1</v>
      </c>
      <c r="AH128" s="25">
        <v>0</v>
      </c>
      <c r="AI128" s="35">
        <v>1</v>
      </c>
      <c r="AJ128" s="25">
        <v>0</v>
      </c>
      <c r="AK128" s="25">
        <v>0</v>
      </c>
      <c r="AL128" s="30">
        <v>1</v>
      </c>
      <c r="AM128" s="32">
        <v>0</v>
      </c>
      <c r="AN128" s="36">
        <v>0</v>
      </c>
      <c r="AO128" s="66">
        <v>0</v>
      </c>
      <c r="AP128" s="66">
        <v>0</v>
      </c>
      <c r="AQ128" s="66">
        <v>0</v>
      </c>
      <c r="AR128" s="66"/>
      <c r="AS128" s="66"/>
      <c r="AX128" s="34" t="str">
        <f t="shared" si="17"/>
        <v xml:space="preserve">1991, 1993, 2000, 2006, 2007, 2008, 2010, 2011, 2012, 2014, 2017, </v>
      </c>
      <c r="AY128" s="29"/>
      <c r="AZ128" s="29"/>
      <c r="BA128" s="29"/>
      <c r="BB128" s="29"/>
    </row>
    <row r="129" spans="1:54" x14ac:dyDescent="0.2">
      <c r="A129" s="24">
        <f t="shared" si="16"/>
        <v>126</v>
      </c>
      <c r="B129" s="25" t="s">
        <v>302</v>
      </c>
      <c r="C129" s="26" t="s">
        <v>303</v>
      </c>
      <c r="D129" s="25" t="s">
        <v>53</v>
      </c>
      <c r="E129" s="25">
        <v>0</v>
      </c>
      <c r="F129" s="25">
        <v>0</v>
      </c>
      <c r="G129" s="25">
        <v>1</v>
      </c>
      <c r="H129" s="25">
        <v>0</v>
      </c>
      <c r="I129" s="25">
        <v>2</v>
      </c>
      <c r="J129" s="25">
        <v>0</v>
      </c>
      <c r="K129" s="25">
        <v>1</v>
      </c>
      <c r="L129" s="25">
        <v>0</v>
      </c>
      <c r="M129" s="25">
        <v>2</v>
      </c>
      <c r="N129" s="25">
        <v>0</v>
      </c>
      <c r="O129" s="25">
        <v>1</v>
      </c>
      <c r="P129" s="25">
        <v>0</v>
      </c>
      <c r="Q129" s="25">
        <v>0</v>
      </c>
      <c r="R129" s="25">
        <v>0</v>
      </c>
      <c r="S129" s="25">
        <v>1</v>
      </c>
      <c r="T129" s="25">
        <v>1</v>
      </c>
      <c r="U129" s="39">
        <v>1</v>
      </c>
      <c r="V129" s="25">
        <v>0</v>
      </c>
      <c r="W129" s="39">
        <v>1</v>
      </c>
      <c r="X129" s="25">
        <v>0</v>
      </c>
      <c r="Y129" s="39">
        <v>1</v>
      </c>
      <c r="Z129" s="25">
        <v>0</v>
      </c>
      <c r="AA129" s="39">
        <v>1</v>
      </c>
      <c r="AB129" s="39">
        <v>1</v>
      </c>
      <c r="AC129" s="39">
        <v>1</v>
      </c>
      <c r="AD129" s="39">
        <v>1</v>
      </c>
      <c r="AE129" s="30">
        <v>1</v>
      </c>
      <c r="AF129" s="30">
        <v>1</v>
      </c>
      <c r="AG129" s="30">
        <v>1</v>
      </c>
      <c r="AH129" s="30">
        <v>1</v>
      </c>
      <c r="AI129" s="30">
        <v>1</v>
      </c>
      <c r="AJ129" s="30">
        <v>1</v>
      </c>
      <c r="AK129" s="30">
        <v>1</v>
      </c>
      <c r="AL129" s="30">
        <v>1</v>
      </c>
      <c r="AM129" s="56">
        <v>1</v>
      </c>
      <c r="AN129" s="56">
        <v>1</v>
      </c>
      <c r="AO129" s="66">
        <v>0</v>
      </c>
      <c r="AP129" s="66">
        <v>0</v>
      </c>
      <c r="AQ129" s="66">
        <v>0</v>
      </c>
      <c r="AR129" s="66"/>
      <c r="AS129" s="66"/>
      <c r="AX129" s="34" t="str">
        <f t="shared" si="17"/>
        <v xml:space="preserve">1986, 1988, 1990, 1992, 1994, 1998, 1999, 2000, 2002, 2004, 2006, 2007, 2008, 2009, 2010, 2011, 2012, 2013, 2014, 2015, 2016, 2017, 2018, 2019, </v>
      </c>
      <c r="AY129" s="29"/>
      <c r="AZ129" s="29"/>
      <c r="BA129" s="29"/>
      <c r="BB129" s="29"/>
    </row>
    <row r="130" spans="1:54" x14ac:dyDescent="0.2">
      <c r="A130" s="24">
        <f t="shared" si="16"/>
        <v>127</v>
      </c>
      <c r="B130" s="25" t="s">
        <v>304</v>
      </c>
      <c r="C130" s="26" t="s">
        <v>305</v>
      </c>
      <c r="D130" s="25" t="s">
        <v>53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  <c r="O130" s="25">
        <v>0</v>
      </c>
      <c r="P130" s="25">
        <v>0</v>
      </c>
      <c r="Q130" s="25">
        <v>0</v>
      </c>
      <c r="R130" s="25">
        <v>0</v>
      </c>
      <c r="S130" s="25">
        <v>0</v>
      </c>
      <c r="T130" s="25">
        <v>0</v>
      </c>
      <c r="U130" s="25">
        <v>0</v>
      </c>
      <c r="V130" s="39">
        <v>1</v>
      </c>
      <c r="W130" s="25">
        <v>0</v>
      </c>
      <c r="X130" s="25">
        <v>0</v>
      </c>
      <c r="Y130" s="25">
        <v>0</v>
      </c>
      <c r="Z130" s="25">
        <v>0</v>
      </c>
      <c r="AA130" s="39">
        <v>1</v>
      </c>
      <c r="AB130" s="25">
        <v>0</v>
      </c>
      <c r="AC130" s="29">
        <v>0</v>
      </c>
      <c r="AD130" s="28">
        <v>0</v>
      </c>
      <c r="AE130" s="29">
        <v>0</v>
      </c>
      <c r="AF130" s="30">
        <v>1</v>
      </c>
      <c r="AG130" s="29">
        <v>0</v>
      </c>
      <c r="AH130" s="29">
        <v>0</v>
      </c>
      <c r="AI130" s="30">
        <v>1</v>
      </c>
      <c r="AJ130" s="29">
        <v>0</v>
      </c>
      <c r="AK130" s="29">
        <v>0</v>
      </c>
      <c r="AL130" s="29">
        <v>0</v>
      </c>
      <c r="AM130" s="32">
        <v>0</v>
      </c>
      <c r="AN130" s="36">
        <v>0</v>
      </c>
      <c r="AO130" s="66">
        <v>0</v>
      </c>
      <c r="AP130" s="66">
        <v>0</v>
      </c>
      <c r="AQ130" s="66">
        <v>0</v>
      </c>
      <c r="AR130" s="66"/>
      <c r="AS130" s="66"/>
      <c r="AX130" s="34" t="str">
        <f t="shared" si="17"/>
        <v xml:space="preserve">2001, 2006, 2011, 2014, </v>
      </c>
      <c r="AY130" s="29"/>
      <c r="AZ130" s="29"/>
      <c r="BA130" s="29"/>
      <c r="BB130" s="29"/>
    </row>
    <row r="131" spans="1:54" x14ac:dyDescent="0.2">
      <c r="A131" s="24">
        <f t="shared" si="16"/>
        <v>128</v>
      </c>
      <c r="B131" s="25" t="s">
        <v>306</v>
      </c>
      <c r="C131" s="26" t="s">
        <v>307</v>
      </c>
      <c r="D131" s="25" t="s">
        <v>53</v>
      </c>
      <c r="E131" s="25">
        <v>0</v>
      </c>
      <c r="F131" s="25">
        <v>0</v>
      </c>
      <c r="G131" s="25">
        <v>0</v>
      </c>
      <c r="H131" s="25">
        <v>0</v>
      </c>
      <c r="I131" s="25">
        <v>1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25">
        <v>0</v>
      </c>
      <c r="Q131" s="25">
        <v>0</v>
      </c>
      <c r="R131" s="25">
        <v>0</v>
      </c>
      <c r="S131" s="25">
        <v>0</v>
      </c>
      <c r="T131" s="25">
        <v>0</v>
      </c>
      <c r="U131" s="25">
        <v>0</v>
      </c>
      <c r="V131" s="25">
        <v>0</v>
      </c>
      <c r="W131" s="25">
        <v>0</v>
      </c>
      <c r="X131" s="25">
        <v>0</v>
      </c>
      <c r="Y131" s="25">
        <v>0</v>
      </c>
      <c r="Z131" s="25">
        <v>0</v>
      </c>
      <c r="AA131" s="39">
        <v>1</v>
      </c>
      <c r="AB131" s="25">
        <v>0</v>
      </c>
      <c r="AC131" s="27">
        <v>0</v>
      </c>
      <c r="AD131" s="28">
        <v>0</v>
      </c>
      <c r="AE131" s="29">
        <v>0</v>
      </c>
      <c r="AF131" s="30">
        <v>1</v>
      </c>
      <c r="AG131" s="29">
        <v>0</v>
      </c>
      <c r="AH131" s="29">
        <v>0</v>
      </c>
      <c r="AI131" s="29">
        <v>0</v>
      </c>
      <c r="AJ131" s="30">
        <v>1</v>
      </c>
      <c r="AK131" s="29">
        <v>0</v>
      </c>
      <c r="AL131" s="29">
        <v>0</v>
      </c>
      <c r="AM131" s="37">
        <v>1</v>
      </c>
      <c r="AN131" s="36">
        <v>0</v>
      </c>
      <c r="AO131" s="66">
        <v>0</v>
      </c>
      <c r="AP131" s="66">
        <v>0</v>
      </c>
      <c r="AQ131" s="66">
        <v>0</v>
      </c>
      <c r="AR131" s="66"/>
      <c r="AS131" s="66"/>
      <c r="AX131" s="34" t="str">
        <f t="shared" si="17"/>
        <v xml:space="preserve">1988, 2006, 2011, 2015, 2018, </v>
      </c>
      <c r="AY131" s="29"/>
      <c r="AZ131" s="29"/>
      <c r="BA131" s="29"/>
      <c r="BB131" s="29"/>
    </row>
    <row r="132" spans="1:54" x14ac:dyDescent="0.2">
      <c r="A132" s="24">
        <f t="shared" si="16"/>
        <v>129</v>
      </c>
      <c r="B132" s="25" t="s">
        <v>308</v>
      </c>
      <c r="C132" s="26" t="s">
        <v>309</v>
      </c>
      <c r="D132" s="25" t="s">
        <v>53</v>
      </c>
      <c r="E132" s="25">
        <v>0</v>
      </c>
      <c r="F132" s="25">
        <v>0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5">
        <v>0</v>
      </c>
      <c r="M132" s="25">
        <v>0</v>
      </c>
      <c r="N132" s="25">
        <v>0</v>
      </c>
      <c r="O132" s="25">
        <v>0</v>
      </c>
      <c r="P132" s="25">
        <v>0</v>
      </c>
      <c r="Q132" s="25">
        <v>0</v>
      </c>
      <c r="R132" s="25">
        <v>0</v>
      </c>
      <c r="S132" s="25">
        <v>0</v>
      </c>
      <c r="T132" s="25">
        <v>0</v>
      </c>
      <c r="U132" s="39">
        <v>1</v>
      </c>
      <c r="V132" s="25">
        <v>0</v>
      </c>
      <c r="W132" s="25">
        <v>0</v>
      </c>
      <c r="X132" s="25">
        <v>0</v>
      </c>
      <c r="Y132" s="25">
        <v>0</v>
      </c>
      <c r="Z132" s="25">
        <v>0</v>
      </c>
      <c r="AA132" s="25">
        <v>0</v>
      </c>
      <c r="AB132" s="25">
        <v>0</v>
      </c>
      <c r="AC132" s="27">
        <v>0</v>
      </c>
      <c r="AD132" s="39">
        <v>1</v>
      </c>
      <c r="AE132" s="29">
        <v>0</v>
      </c>
      <c r="AF132" s="29">
        <v>0</v>
      </c>
      <c r="AG132" s="29">
        <v>0</v>
      </c>
      <c r="AH132" s="29">
        <v>0</v>
      </c>
      <c r="AI132" s="29">
        <v>0</v>
      </c>
      <c r="AJ132" s="30">
        <v>1</v>
      </c>
      <c r="AK132" s="29">
        <v>0</v>
      </c>
      <c r="AL132" s="29">
        <v>0</v>
      </c>
      <c r="AM132" s="32">
        <v>0</v>
      </c>
      <c r="AN132" s="36">
        <v>0</v>
      </c>
      <c r="AO132" s="66">
        <v>0</v>
      </c>
      <c r="AP132" s="66">
        <v>0</v>
      </c>
      <c r="AQ132" s="66">
        <v>0</v>
      </c>
      <c r="AR132" s="66"/>
      <c r="AS132" s="66"/>
      <c r="AX132" s="34" t="str">
        <f t="shared" si="17"/>
        <v xml:space="preserve">2000, 2009, 2015, </v>
      </c>
      <c r="AY132" s="29"/>
      <c r="AZ132" s="29"/>
      <c r="BA132" s="29"/>
      <c r="BB132" s="29"/>
    </row>
    <row r="133" spans="1:54" x14ac:dyDescent="0.2">
      <c r="A133" s="24">
        <f t="shared" ref="A133:A193" si="18">1+A132</f>
        <v>130</v>
      </c>
      <c r="B133" s="25" t="s">
        <v>310</v>
      </c>
      <c r="C133" s="26" t="s">
        <v>311</v>
      </c>
      <c r="D133" s="25" t="s">
        <v>53</v>
      </c>
      <c r="E133" s="25">
        <v>0</v>
      </c>
      <c r="F133" s="25">
        <v>0</v>
      </c>
      <c r="G133" s="25">
        <v>0</v>
      </c>
      <c r="H133" s="25">
        <v>0</v>
      </c>
      <c r="I133" s="25">
        <v>1</v>
      </c>
      <c r="J133" s="25">
        <v>0</v>
      </c>
      <c r="K133" s="25">
        <v>0</v>
      </c>
      <c r="L133" s="25">
        <v>0</v>
      </c>
      <c r="M133" s="25">
        <v>2</v>
      </c>
      <c r="N133" s="25">
        <v>0</v>
      </c>
      <c r="O133" s="25">
        <v>0</v>
      </c>
      <c r="P133" s="25">
        <v>0</v>
      </c>
      <c r="Q133" s="25">
        <v>0</v>
      </c>
      <c r="R133" s="25">
        <v>0</v>
      </c>
      <c r="S133" s="25">
        <v>0</v>
      </c>
      <c r="T133" s="25">
        <v>0</v>
      </c>
      <c r="U133" s="25">
        <v>0</v>
      </c>
      <c r="V133" s="25">
        <v>0</v>
      </c>
      <c r="W133" s="25">
        <v>0</v>
      </c>
      <c r="X133" s="25">
        <v>0</v>
      </c>
      <c r="Y133" s="25">
        <v>0</v>
      </c>
      <c r="Z133" s="39">
        <v>1</v>
      </c>
      <c r="AA133" s="25">
        <v>0</v>
      </c>
      <c r="AB133" s="25">
        <v>0</v>
      </c>
      <c r="AC133" s="27">
        <v>0</v>
      </c>
      <c r="AD133" s="52">
        <v>0</v>
      </c>
      <c r="AE133" s="29">
        <v>0</v>
      </c>
      <c r="AF133" s="29">
        <v>0</v>
      </c>
      <c r="AG133" s="29">
        <v>0</v>
      </c>
      <c r="AH133" s="29">
        <v>0</v>
      </c>
      <c r="AI133" s="29">
        <v>0</v>
      </c>
      <c r="AJ133" s="29">
        <v>0</v>
      </c>
      <c r="AK133" s="29">
        <v>0</v>
      </c>
      <c r="AL133" s="29">
        <v>0</v>
      </c>
      <c r="AM133" s="32">
        <v>0</v>
      </c>
      <c r="AN133" s="36">
        <v>0</v>
      </c>
      <c r="AO133" s="66">
        <v>0</v>
      </c>
      <c r="AP133" s="66">
        <v>0</v>
      </c>
      <c r="AQ133" s="66">
        <v>0</v>
      </c>
      <c r="AR133" s="66"/>
      <c r="AS133" s="66"/>
      <c r="AX133" s="34" t="str">
        <f t="shared" ref="AX133:AX193" si="19">+IF($F133&gt;=1,RIGHT(F$3,4)&amp;", ","")&amp;IF($G133&gt;=1,RIGHT(G$3,4)&amp;", ","")&amp;IF($H133&gt;=1,RIGHT(H$3,4)&amp;", ","")&amp;IF($I133&gt;=1,RIGHT(I$3,4)&amp;", ","")&amp;IF($J133&gt;=1,RIGHT(J$3,4)&amp;", ","")&amp;IF($K133&gt;=1,RIGHT(K$3,4)&amp;", ","")&amp;IF($L133&gt;=1,RIGHT(L$3,4)&amp;", ","")&amp;IF($M133&gt;=1,RIGHT(M$3,4)&amp;", ","")&amp;IF($N133&gt;=1,RIGHT(N$3,4)&amp;", ","")&amp;IF($O133&gt;=1,RIGHT(O$3,4)&amp;", ","")&amp;IF($P133&gt;=1,RIGHT(P$3,4)&amp;", ","")&amp;IF($Q133&gt;=1,RIGHT(Q$3,4)&amp;", ","")&amp;IF($R133&gt;=1,RIGHT(R$3,4)&amp;", ","")&amp;IF($S133&gt;=1,RIGHT(S$3,4)&amp;", ","")&amp;IF($T133&gt;=1,RIGHT(T$3,4)&amp;", ","")&amp;IF($U133&gt;=1,RIGHT(U$3,4)&amp;", ","")&amp;IF($V133&gt;=1,RIGHT(V$3,4)&amp;", ","")&amp;IF($W133&gt;=1,RIGHT(W$3,4)&amp;", ","")&amp;IF($X133&gt;=1,RIGHT(X$3,4)&amp;", ","")&amp;IF($Y133&gt;=1,RIGHT(Y$3,4)&amp;", ","")&amp;IF($Z133&gt;=1,RIGHT(Z$3,4)&amp;", ","")&amp;IF($AA133&gt;=1,RIGHT(AA$3,4)&amp;", ","")&amp;IF($AB133&gt;=1,RIGHT(AB$3,4)&amp;", ","")&amp;IF($AC133&gt;=1,RIGHT(AC$3,4)&amp;", ","")&amp;IF($AD133&gt;=1,RIGHT(AD$3,4)&amp;", ","")&amp;IF($AE133&gt;=1,RIGHT(AE$3,4)&amp;", ","")&amp;IF($AF133&gt;=1,RIGHT(AF$3,4)&amp;", ","")&amp;IF($AG133&gt;=1,RIGHT(AG$3,4)&amp;", ","")&amp;IF($AH133&gt;=1,RIGHT(AH$3,4)&amp;", ","")&amp;IF($AI133&gt;=1,RIGHT(AI$3,4)&amp;", ","")&amp;IF($AJ133&gt;=1,RIGHT(AJ$3,4)&amp;", ","")&amp;IF($AK133&gt;=1,RIGHT(AK$3,4)&amp;", ","")&amp;IF($AL133&gt;=1,RIGHT(AL$3,4)&amp;", ","")&amp;IF($AM133&gt;=1,RIGHT(AM$3,4)&amp;", ","")&amp;IF($AN133&gt;=1,RIGHT(AN$3,4)&amp;", ","")&amp;IF($AO133&gt;=1,RIGHT(AO$3,4)&amp;", ","") &amp;IF($AP133&gt;=1,RIGHT(AP$3,4)&amp;", ","") &amp;IF($AQ133&gt;=1,RIGHT(AQ$3,4)&amp;", ","") &amp;IF($AR133&gt;=1,RIGHT(AR$3,4)&amp;", ","") &amp;IF($AS133&gt;=1,RIGHT(AS$3,4)&amp;", ","")&amp;IF($AT133&gt;=1,RIGHT(AT$3,4)&amp;", ","")</f>
        <v xml:space="preserve">1988, 1992, 2005, </v>
      </c>
      <c r="AY133" s="65" t="s">
        <v>312</v>
      </c>
      <c r="AZ133" s="65"/>
      <c r="BA133" s="65"/>
      <c r="BB133" s="65"/>
    </row>
    <row r="134" spans="1:54" x14ac:dyDescent="0.2">
      <c r="A134" s="24">
        <f t="shared" si="18"/>
        <v>131</v>
      </c>
      <c r="B134" s="25" t="s">
        <v>313</v>
      </c>
      <c r="C134" s="26" t="s">
        <v>314</v>
      </c>
      <c r="D134" s="25" t="s">
        <v>53</v>
      </c>
      <c r="E134" s="25">
        <v>0</v>
      </c>
      <c r="F134" s="25">
        <v>2</v>
      </c>
      <c r="G134" s="25">
        <v>0</v>
      </c>
      <c r="H134" s="25">
        <v>0</v>
      </c>
      <c r="I134" s="25">
        <v>0</v>
      </c>
      <c r="J134" s="25">
        <v>0</v>
      </c>
      <c r="K134" s="25">
        <v>2</v>
      </c>
      <c r="L134" s="25">
        <v>0</v>
      </c>
      <c r="M134" s="25">
        <v>0</v>
      </c>
      <c r="N134" s="25">
        <v>0</v>
      </c>
      <c r="O134" s="25">
        <v>0</v>
      </c>
      <c r="P134" s="25">
        <v>2</v>
      </c>
      <c r="Q134" s="25">
        <v>0</v>
      </c>
      <c r="R134" s="25">
        <v>0</v>
      </c>
      <c r="S134" s="25">
        <v>0</v>
      </c>
      <c r="T134" s="25">
        <v>0</v>
      </c>
      <c r="U134" s="25">
        <v>0</v>
      </c>
      <c r="V134" s="25">
        <v>0</v>
      </c>
      <c r="W134" s="25">
        <v>0</v>
      </c>
      <c r="X134" s="25">
        <v>0</v>
      </c>
      <c r="Y134" s="25">
        <v>0</v>
      </c>
      <c r="Z134" s="39">
        <v>1</v>
      </c>
      <c r="AA134" s="25">
        <v>0</v>
      </c>
      <c r="AB134" s="25">
        <v>0</v>
      </c>
      <c r="AC134" s="27">
        <v>0</v>
      </c>
      <c r="AD134" s="28">
        <v>0</v>
      </c>
      <c r="AE134" s="30">
        <v>1</v>
      </c>
      <c r="AF134" s="29">
        <v>0</v>
      </c>
      <c r="AG134" s="29">
        <v>0</v>
      </c>
      <c r="AH134" s="29">
        <v>0</v>
      </c>
      <c r="AI134" s="29">
        <v>0</v>
      </c>
      <c r="AJ134" s="30">
        <v>1</v>
      </c>
      <c r="AK134" s="29">
        <v>0</v>
      </c>
      <c r="AL134" s="29">
        <v>0</v>
      </c>
      <c r="AM134" s="32">
        <v>0</v>
      </c>
      <c r="AN134" s="36">
        <v>0</v>
      </c>
      <c r="AO134" s="66">
        <v>0</v>
      </c>
      <c r="AP134" s="66">
        <v>0</v>
      </c>
      <c r="AQ134" s="66">
        <v>0</v>
      </c>
      <c r="AR134" s="66"/>
      <c r="AS134" s="66"/>
      <c r="AX134" s="34" t="str">
        <f t="shared" si="19"/>
        <v xml:space="preserve">1985, 1990, 1995, 2005, 2010, 2015, </v>
      </c>
      <c r="AY134" s="29"/>
      <c r="AZ134" s="29"/>
      <c r="BA134" s="29"/>
      <c r="BB134" s="29"/>
    </row>
    <row r="135" spans="1:54" x14ac:dyDescent="0.2">
      <c r="A135" s="24">
        <f t="shared" si="18"/>
        <v>132</v>
      </c>
      <c r="B135" s="25" t="s">
        <v>315</v>
      </c>
      <c r="C135" s="26" t="s">
        <v>316</v>
      </c>
      <c r="D135" s="25" t="s">
        <v>53</v>
      </c>
      <c r="E135" s="25">
        <v>0</v>
      </c>
      <c r="F135" s="25">
        <v>0</v>
      </c>
      <c r="G135" s="25">
        <v>0</v>
      </c>
      <c r="H135" s="25">
        <v>2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  <c r="O135" s="25">
        <v>2</v>
      </c>
      <c r="P135" s="25">
        <v>0</v>
      </c>
      <c r="Q135" s="25">
        <v>0</v>
      </c>
      <c r="R135" s="25">
        <v>0</v>
      </c>
      <c r="S135" s="25">
        <v>0</v>
      </c>
      <c r="T135" s="25">
        <v>0</v>
      </c>
      <c r="U135" s="25">
        <v>0</v>
      </c>
      <c r="V135" s="35">
        <v>1</v>
      </c>
      <c r="W135" s="39">
        <v>1</v>
      </c>
      <c r="X135" s="39">
        <v>1</v>
      </c>
      <c r="Y135" s="39">
        <v>1</v>
      </c>
      <c r="Z135" s="39">
        <v>1</v>
      </c>
      <c r="AA135" s="39">
        <v>1</v>
      </c>
      <c r="AB135" s="39">
        <v>1</v>
      </c>
      <c r="AC135" s="39">
        <v>1</v>
      </c>
      <c r="AD135" s="39">
        <v>1</v>
      </c>
      <c r="AE135" s="30">
        <v>1</v>
      </c>
      <c r="AF135" s="30">
        <v>1</v>
      </c>
      <c r="AG135" s="30">
        <v>1</v>
      </c>
      <c r="AH135" s="30">
        <v>1</v>
      </c>
      <c r="AI135" s="30">
        <v>1</v>
      </c>
      <c r="AJ135" s="30">
        <v>1</v>
      </c>
      <c r="AK135" s="30">
        <v>1</v>
      </c>
      <c r="AL135" s="30">
        <v>1</v>
      </c>
      <c r="AM135" s="56">
        <v>1</v>
      </c>
      <c r="AN135" s="56">
        <v>1</v>
      </c>
      <c r="AO135" s="30">
        <v>1</v>
      </c>
      <c r="AP135" s="56">
        <v>1</v>
      </c>
      <c r="AQ135" s="56">
        <v>1</v>
      </c>
      <c r="AR135" s="66"/>
      <c r="AS135" s="66"/>
      <c r="AX135" s="34" t="str">
        <f t="shared" si="19"/>
        <v xml:space="preserve">1987, 1994, 2001, 2002, 2003, 2004, 2005, 2006, 2007, 2008, 2009, 2010, 2011, 2012, 2013, 2014, 2015, 2016, 2017, 2018, 2019, 2020, 2021, 2022, </v>
      </c>
      <c r="AY135" s="29"/>
      <c r="AZ135" s="29"/>
      <c r="BA135" s="29"/>
      <c r="BB135" s="29"/>
    </row>
    <row r="136" spans="1:54" x14ac:dyDescent="0.2">
      <c r="A136" s="24">
        <f t="shared" si="18"/>
        <v>133</v>
      </c>
      <c r="B136" s="25" t="s">
        <v>317</v>
      </c>
      <c r="C136" s="26" t="s">
        <v>318</v>
      </c>
      <c r="D136" s="25" t="s">
        <v>53</v>
      </c>
      <c r="E136" s="25">
        <v>0</v>
      </c>
      <c r="F136" s="25">
        <v>0</v>
      </c>
      <c r="G136" s="25">
        <v>0</v>
      </c>
      <c r="H136" s="25">
        <v>0</v>
      </c>
      <c r="I136" s="25">
        <v>1</v>
      </c>
      <c r="J136" s="25">
        <v>0</v>
      </c>
      <c r="K136" s="25">
        <v>0</v>
      </c>
      <c r="L136" s="25">
        <v>0</v>
      </c>
      <c r="M136" s="25">
        <v>0</v>
      </c>
      <c r="N136" s="25">
        <v>1</v>
      </c>
      <c r="O136" s="25">
        <v>0</v>
      </c>
      <c r="P136" s="25">
        <v>0</v>
      </c>
      <c r="Q136" s="25">
        <v>0</v>
      </c>
      <c r="R136" s="25">
        <v>0</v>
      </c>
      <c r="S136" s="25">
        <v>1</v>
      </c>
      <c r="T136" s="25">
        <v>0</v>
      </c>
      <c r="U136" s="25">
        <v>0</v>
      </c>
      <c r="V136" s="25">
        <v>0</v>
      </c>
      <c r="W136" s="25">
        <v>0</v>
      </c>
      <c r="X136" s="35">
        <v>1</v>
      </c>
      <c r="Y136" s="25">
        <v>0</v>
      </c>
      <c r="Z136" s="25">
        <v>0</v>
      </c>
      <c r="AA136" s="25">
        <v>0</v>
      </c>
      <c r="AB136" s="25">
        <v>0</v>
      </c>
      <c r="AC136" s="27">
        <v>0</v>
      </c>
      <c r="AD136" s="28">
        <v>0</v>
      </c>
      <c r="AE136" s="29">
        <v>0</v>
      </c>
      <c r="AF136" s="29">
        <v>0</v>
      </c>
      <c r="AG136" s="29">
        <v>0</v>
      </c>
      <c r="AH136" s="29">
        <v>0</v>
      </c>
      <c r="AI136" s="29">
        <v>0</v>
      </c>
      <c r="AJ136" s="29">
        <v>0</v>
      </c>
      <c r="AK136" s="29">
        <v>0</v>
      </c>
      <c r="AL136" s="29">
        <v>0</v>
      </c>
      <c r="AM136" s="32">
        <v>0</v>
      </c>
      <c r="AN136" s="36">
        <v>0</v>
      </c>
      <c r="AO136" s="66">
        <v>0</v>
      </c>
      <c r="AP136" s="66">
        <v>0</v>
      </c>
      <c r="AQ136" s="66">
        <v>0</v>
      </c>
      <c r="AR136" s="66"/>
      <c r="AS136" s="66"/>
      <c r="AX136" s="34" t="str">
        <f t="shared" si="19"/>
        <v xml:space="preserve">1988, 1993, 1998, 2003, </v>
      </c>
      <c r="AY136" s="29"/>
      <c r="AZ136" s="29"/>
      <c r="BA136" s="29"/>
      <c r="BB136" s="29"/>
    </row>
    <row r="137" spans="1:54" x14ac:dyDescent="0.2">
      <c r="A137" s="24">
        <f t="shared" si="18"/>
        <v>134</v>
      </c>
      <c r="B137" s="25" t="s">
        <v>319</v>
      </c>
      <c r="C137" s="62" t="s">
        <v>320</v>
      </c>
      <c r="D137" s="25" t="s">
        <v>53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5">
        <v>0</v>
      </c>
      <c r="O137" s="25">
        <v>0</v>
      </c>
      <c r="P137" s="25">
        <v>0</v>
      </c>
      <c r="Q137" s="25">
        <v>0</v>
      </c>
      <c r="R137" s="25">
        <v>0</v>
      </c>
      <c r="S137" s="25">
        <v>0</v>
      </c>
      <c r="T137" s="25">
        <v>0</v>
      </c>
      <c r="U137" s="25">
        <v>0</v>
      </c>
      <c r="V137" s="25">
        <v>0</v>
      </c>
      <c r="W137" s="25">
        <v>0</v>
      </c>
      <c r="X137" s="25">
        <v>0</v>
      </c>
      <c r="Y137" s="39">
        <v>1</v>
      </c>
      <c r="Z137" s="25">
        <v>0</v>
      </c>
      <c r="AA137" s="25">
        <v>0</v>
      </c>
      <c r="AB137" s="25">
        <v>0</v>
      </c>
      <c r="AC137" s="27">
        <v>0</v>
      </c>
      <c r="AD137" s="39">
        <v>1</v>
      </c>
      <c r="AE137" s="25">
        <v>0</v>
      </c>
      <c r="AF137" s="29">
        <v>0</v>
      </c>
      <c r="AG137" s="29">
        <v>0</v>
      </c>
      <c r="AH137" s="29">
        <v>0</v>
      </c>
      <c r="AI137" s="29">
        <v>0</v>
      </c>
      <c r="AJ137" s="25">
        <v>0</v>
      </c>
      <c r="AK137" s="25">
        <v>0</v>
      </c>
      <c r="AL137" s="29">
        <v>0</v>
      </c>
      <c r="AM137" s="32">
        <v>0</v>
      </c>
      <c r="AN137" s="36">
        <v>0</v>
      </c>
      <c r="AO137" s="66">
        <v>0</v>
      </c>
      <c r="AP137" s="66">
        <v>0</v>
      </c>
      <c r="AQ137" s="66">
        <v>0</v>
      </c>
      <c r="AR137" s="66"/>
      <c r="AS137" s="66"/>
      <c r="AX137" s="34" t="str">
        <f t="shared" si="19"/>
        <v xml:space="preserve">2004, 2009, </v>
      </c>
      <c r="AY137" s="29"/>
      <c r="AZ137" s="29"/>
      <c r="BA137" s="29"/>
      <c r="BB137" s="29"/>
    </row>
    <row r="138" spans="1:54" x14ac:dyDescent="0.2">
      <c r="A138" s="24">
        <f t="shared" si="18"/>
        <v>135</v>
      </c>
      <c r="B138" s="25" t="s">
        <v>321</v>
      </c>
      <c r="C138" s="26" t="s">
        <v>322</v>
      </c>
      <c r="D138" s="25" t="s">
        <v>53</v>
      </c>
      <c r="E138" s="25">
        <v>0</v>
      </c>
      <c r="F138" s="25">
        <v>0</v>
      </c>
      <c r="G138" s="25">
        <v>0</v>
      </c>
      <c r="H138" s="25">
        <v>0</v>
      </c>
      <c r="I138" s="25">
        <v>0</v>
      </c>
      <c r="J138" s="25">
        <v>2</v>
      </c>
      <c r="K138" s="25">
        <v>0</v>
      </c>
      <c r="L138" s="25">
        <v>0</v>
      </c>
      <c r="M138" s="25">
        <v>2</v>
      </c>
      <c r="N138" s="25">
        <v>1</v>
      </c>
      <c r="O138" s="25">
        <v>1</v>
      </c>
      <c r="P138" s="25">
        <v>1</v>
      </c>
      <c r="Q138" s="25">
        <v>0</v>
      </c>
      <c r="R138" s="25">
        <v>0</v>
      </c>
      <c r="S138" s="25">
        <v>0</v>
      </c>
      <c r="T138" s="25">
        <v>0</v>
      </c>
      <c r="U138" s="25">
        <v>1</v>
      </c>
      <c r="V138" s="25">
        <v>0</v>
      </c>
      <c r="W138" s="39">
        <v>1</v>
      </c>
      <c r="X138" s="25">
        <v>0</v>
      </c>
      <c r="Y138" s="25">
        <v>0</v>
      </c>
      <c r="Z138" s="39">
        <v>1</v>
      </c>
      <c r="AA138" s="25">
        <v>0</v>
      </c>
      <c r="AB138" s="25">
        <v>0</v>
      </c>
      <c r="AC138" s="27">
        <v>0</v>
      </c>
      <c r="AD138" s="39">
        <v>1</v>
      </c>
      <c r="AE138" s="35">
        <v>1</v>
      </c>
      <c r="AF138" s="35">
        <v>1</v>
      </c>
      <c r="AG138" s="30">
        <v>1</v>
      </c>
      <c r="AH138" s="35">
        <v>1</v>
      </c>
      <c r="AI138" s="29">
        <v>0</v>
      </c>
      <c r="AJ138" s="35">
        <v>1</v>
      </c>
      <c r="AK138" s="30">
        <v>1</v>
      </c>
      <c r="AL138" s="29">
        <v>0</v>
      </c>
      <c r="AM138" s="32">
        <v>0</v>
      </c>
      <c r="AN138" s="36">
        <v>0</v>
      </c>
      <c r="AO138" s="66">
        <v>0</v>
      </c>
      <c r="AP138" s="66">
        <v>0</v>
      </c>
      <c r="AQ138" s="66">
        <v>0</v>
      </c>
      <c r="AR138" s="66"/>
      <c r="AS138" s="66"/>
      <c r="AX138" s="34" t="str">
        <f t="shared" si="19"/>
        <v xml:space="preserve">1989, 1992, 1993, 1994, 1995, 2000, 2002, 2005, 2009, 2010, 2011, 2012, 2013, 2015, 2016, </v>
      </c>
      <c r="AY138" s="29"/>
      <c r="AZ138" s="29"/>
      <c r="BA138" s="29"/>
      <c r="BB138" s="29"/>
    </row>
    <row r="139" spans="1:54" x14ac:dyDescent="0.2">
      <c r="A139" s="24">
        <f t="shared" si="18"/>
        <v>136</v>
      </c>
      <c r="B139" s="25" t="s">
        <v>323</v>
      </c>
      <c r="C139" s="34" t="s">
        <v>324</v>
      </c>
      <c r="D139" s="25" t="s">
        <v>53</v>
      </c>
      <c r="E139" s="25">
        <v>0</v>
      </c>
      <c r="F139" s="25">
        <v>0</v>
      </c>
      <c r="G139" s="25">
        <v>0</v>
      </c>
      <c r="H139" s="25">
        <v>0</v>
      </c>
      <c r="I139" s="25">
        <v>1</v>
      </c>
      <c r="J139" s="25">
        <v>0</v>
      </c>
      <c r="K139" s="25">
        <v>0</v>
      </c>
      <c r="L139" s="25">
        <v>0</v>
      </c>
      <c r="M139" s="25">
        <v>1</v>
      </c>
      <c r="N139" s="25">
        <v>0</v>
      </c>
      <c r="O139" s="25">
        <v>0</v>
      </c>
      <c r="P139" s="25">
        <v>2</v>
      </c>
      <c r="Q139" s="25">
        <v>0</v>
      </c>
      <c r="R139" s="25">
        <v>0</v>
      </c>
      <c r="S139" s="25">
        <v>0</v>
      </c>
      <c r="T139" s="25">
        <v>1</v>
      </c>
      <c r="U139" s="35">
        <v>1</v>
      </c>
      <c r="V139" s="35">
        <v>1</v>
      </c>
      <c r="W139" s="39">
        <v>1</v>
      </c>
      <c r="X139" s="39">
        <v>1</v>
      </c>
      <c r="Y139" s="39">
        <v>1</v>
      </c>
      <c r="Z139" s="39">
        <v>1</v>
      </c>
      <c r="AA139" s="39">
        <v>1</v>
      </c>
      <c r="AB139" s="39">
        <v>1</v>
      </c>
      <c r="AC139" s="39">
        <v>1</v>
      </c>
      <c r="AD139" s="39">
        <v>1</v>
      </c>
      <c r="AE139" s="30">
        <v>1</v>
      </c>
      <c r="AF139" s="30">
        <v>1</v>
      </c>
      <c r="AG139" s="30">
        <v>1</v>
      </c>
      <c r="AH139" s="30">
        <v>1</v>
      </c>
      <c r="AI139" s="30">
        <v>1</v>
      </c>
      <c r="AJ139" s="30">
        <v>1</v>
      </c>
      <c r="AK139" s="30">
        <v>1</v>
      </c>
      <c r="AL139" s="56">
        <v>1</v>
      </c>
      <c r="AM139" s="56">
        <v>1</v>
      </c>
      <c r="AN139" s="56">
        <v>1</v>
      </c>
      <c r="AO139" s="66">
        <v>0</v>
      </c>
      <c r="AP139" s="66">
        <v>0</v>
      </c>
      <c r="AQ139" s="66">
        <v>0</v>
      </c>
      <c r="AR139" s="66"/>
      <c r="AS139" s="66"/>
      <c r="AX139" s="34" t="str">
        <f t="shared" si="19"/>
        <v xml:space="preserve">1988, 1992, 1995, 1999, 2000, 2001, 2002, 2003, 2004, 2005, 2006, 2007, 2008, 2009, 2010, 2011, 2012, 2013, 2014, 2015, 2016, 2017, 2018, 2019, </v>
      </c>
      <c r="AY139" s="29"/>
      <c r="AZ139" s="29"/>
      <c r="BA139" s="29"/>
      <c r="BB139" s="29"/>
    </row>
    <row r="140" spans="1:54" x14ac:dyDescent="0.2">
      <c r="A140" s="24">
        <f t="shared" si="18"/>
        <v>137</v>
      </c>
      <c r="B140" s="25" t="s">
        <v>325</v>
      </c>
      <c r="C140" s="42" t="s">
        <v>326</v>
      </c>
      <c r="D140" s="25" t="s">
        <v>53</v>
      </c>
      <c r="E140" s="25">
        <v>0</v>
      </c>
      <c r="F140" s="25">
        <v>0</v>
      </c>
      <c r="G140" s="25">
        <v>0</v>
      </c>
      <c r="H140" s="25">
        <v>0</v>
      </c>
      <c r="I140" s="25">
        <v>0</v>
      </c>
      <c r="J140" s="25">
        <v>2</v>
      </c>
      <c r="K140" s="25">
        <v>0</v>
      </c>
      <c r="L140" s="25">
        <v>0</v>
      </c>
      <c r="M140" s="25">
        <v>1</v>
      </c>
      <c r="N140" s="25">
        <v>0</v>
      </c>
      <c r="O140" s="25">
        <v>0</v>
      </c>
      <c r="P140" s="25">
        <v>1</v>
      </c>
      <c r="Q140" s="56">
        <v>1</v>
      </c>
      <c r="R140" s="56">
        <v>1</v>
      </c>
      <c r="S140" s="56">
        <v>1</v>
      </c>
      <c r="T140" s="56">
        <v>1</v>
      </c>
      <c r="U140" s="39">
        <v>1</v>
      </c>
      <c r="V140" s="39">
        <v>1</v>
      </c>
      <c r="W140" s="39">
        <v>1</v>
      </c>
      <c r="X140" s="39">
        <v>1</v>
      </c>
      <c r="Y140" s="39">
        <v>1</v>
      </c>
      <c r="Z140" s="39">
        <v>1</v>
      </c>
      <c r="AA140" s="39">
        <v>1</v>
      </c>
      <c r="AB140" s="39">
        <v>1</v>
      </c>
      <c r="AC140" s="39">
        <v>1</v>
      </c>
      <c r="AD140" s="39">
        <v>1</v>
      </c>
      <c r="AE140" s="30">
        <v>1</v>
      </c>
      <c r="AF140" s="30">
        <v>1</v>
      </c>
      <c r="AG140" s="30">
        <v>1</v>
      </c>
      <c r="AH140" s="30">
        <v>1</v>
      </c>
      <c r="AI140" s="30">
        <v>1</v>
      </c>
      <c r="AJ140" s="30">
        <v>1</v>
      </c>
      <c r="AK140" s="30">
        <v>1</v>
      </c>
      <c r="AL140" s="30">
        <v>1</v>
      </c>
      <c r="AM140" s="35">
        <v>1</v>
      </c>
      <c r="AN140" s="56">
        <v>1</v>
      </c>
      <c r="AO140" s="66">
        <v>0</v>
      </c>
      <c r="AP140" s="66">
        <v>0</v>
      </c>
      <c r="AQ140" s="66">
        <v>0</v>
      </c>
      <c r="AR140" s="66"/>
      <c r="AS140" s="66"/>
      <c r="AX140" s="34" t="str">
        <f t="shared" si="19"/>
        <v xml:space="preserve">1989, 1992, 1995, 1996, 1997, 1998, 1999, 2000, 2001, 2002, 2003, 2004, 2005, 2006, 2007, 2008, 2009, 2010, 2011, 2012, 2013, 2014, 2015, 2016, 2017, 2018, 2019, </v>
      </c>
      <c r="AY140" s="29"/>
      <c r="AZ140" s="29"/>
      <c r="BA140" s="29"/>
      <c r="BB140" s="29"/>
    </row>
    <row r="141" spans="1:54" x14ac:dyDescent="0.2">
      <c r="A141" s="24">
        <f t="shared" si="18"/>
        <v>138</v>
      </c>
      <c r="B141" s="25" t="s">
        <v>327</v>
      </c>
      <c r="C141" s="42" t="s">
        <v>328</v>
      </c>
      <c r="D141" s="25" t="s">
        <v>53</v>
      </c>
      <c r="E141" s="25">
        <v>0</v>
      </c>
      <c r="F141" s="25">
        <v>0</v>
      </c>
      <c r="G141" s="25">
        <v>0</v>
      </c>
      <c r="H141" s="25">
        <v>0</v>
      </c>
      <c r="I141" s="25">
        <v>1</v>
      </c>
      <c r="J141" s="25">
        <v>0</v>
      </c>
      <c r="K141" s="25">
        <v>0</v>
      </c>
      <c r="L141" s="25">
        <v>0</v>
      </c>
      <c r="M141" s="25">
        <v>0</v>
      </c>
      <c r="N141" s="25">
        <v>1</v>
      </c>
      <c r="O141" s="25">
        <v>0</v>
      </c>
      <c r="P141" s="25">
        <v>0</v>
      </c>
      <c r="Q141" s="25">
        <v>0</v>
      </c>
      <c r="R141" s="25">
        <v>0</v>
      </c>
      <c r="S141" s="25">
        <v>1</v>
      </c>
      <c r="T141" s="25">
        <v>0</v>
      </c>
      <c r="U141" s="39">
        <v>1</v>
      </c>
      <c r="V141" s="25">
        <v>0</v>
      </c>
      <c r="W141" s="39">
        <v>1</v>
      </c>
      <c r="X141" s="39">
        <v>1</v>
      </c>
      <c r="Y141" s="25">
        <v>0</v>
      </c>
      <c r="Z141" s="25">
        <v>0</v>
      </c>
      <c r="AA141" s="25">
        <v>0</v>
      </c>
      <c r="AB141" s="25">
        <v>0</v>
      </c>
      <c r="AC141" s="27">
        <v>0</v>
      </c>
      <c r="AD141" s="28">
        <v>0</v>
      </c>
      <c r="AE141" s="29">
        <v>0</v>
      </c>
      <c r="AF141" s="29">
        <v>0</v>
      </c>
      <c r="AG141" s="29">
        <v>0</v>
      </c>
      <c r="AH141" s="29">
        <v>0</v>
      </c>
      <c r="AI141" s="29">
        <v>0</v>
      </c>
      <c r="AJ141" s="30">
        <v>1</v>
      </c>
      <c r="AK141" s="30">
        <v>1</v>
      </c>
      <c r="AL141" s="30">
        <v>1</v>
      </c>
      <c r="AM141" s="32">
        <v>0</v>
      </c>
      <c r="AN141" s="36">
        <v>0</v>
      </c>
      <c r="AO141" s="66">
        <v>0</v>
      </c>
      <c r="AP141" s="66">
        <v>0</v>
      </c>
      <c r="AQ141" s="66">
        <v>0</v>
      </c>
      <c r="AR141" s="66"/>
      <c r="AS141" s="66"/>
      <c r="AX141" s="34" t="str">
        <f t="shared" si="19"/>
        <v xml:space="preserve">1988, 1993, 1998, 2000, 2002, 2003, 2015, 2016, 2017, </v>
      </c>
      <c r="AY141" s="29"/>
      <c r="AZ141" s="29"/>
      <c r="BA141" s="29"/>
      <c r="BB141" s="29"/>
    </row>
    <row r="142" spans="1:54" x14ac:dyDescent="0.2">
      <c r="A142" s="24">
        <f t="shared" si="18"/>
        <v>139</v>
      </c>
      <c r="B142" s="25" t="s">
        <v>329</v>
      </c>
      <c r="C142" s="42" t="s">
        <v>330</v>
      </c>
      <c r="D142" s="25" t="s">
        <v>53</v>
      </c>
      <c r="E142" s="25">
        <v>0</v>
      </c>
      <c r="F142" s="25">
        <v>0</v>
      </c>
      <c r="G142" s="25">
        <v>0</v>
      </c>
      <c r="H142" s="25">
        <v>0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  <c r="N142" s="25">
        <v>0</v>
      </c>
      <c r="O142" s="25">
        <v>0</v>
      </c>
      <c r="P142" s="25">
        <v>0</v>
      </c>
      <c r="Q142" s="25">
        <v>0</v>
      </c>
      <c r="R142" s="25">
        <v>0</v>
      </c>
      <c r="S142" s="25">
        <v>0</v>
      </c>
      <c r="T142" s="25">
        <v>0</v>
      </c>
      <c r="U142" s="25">
        <v>0</v>
      </c>
      <c r="V142" s="25">
        <v>0</v>
      </c>
      <c r="W142" s="25">
        <v>0</v>
      </c>
      <c r="X142" s="25">
        <v>0</v>
      </c>
      <c r="Y142" s="25">
        <v>0</v>
      </c>
      <c r="Z142" s="25">
        <v>0</v>
      </c>
      <c r="AA142" s="39">
        <v>1</v>
      </c>
      <c r="AB142" s="25">
        <v>0</v>
      </c>
      <c r="AC142" s="27">
        <v>0</v>
      </c>
      <c r="AD142" s="28">
        <v>0</v>
      </c>
      <c r="AE142" s="30">
        <v>1</v>
      </c>
      <c r="AF142" s="29">
        <v>0</v>
      </c>
      <c r="AG142" s="56">
        <v>1</v>
      </c>
      <c r="AH142" s="29">
        <v>0</v>
      </c>
      <c r="AI142" s="29">
        <v>0</v>
      </c>
      <c r="AJ142" s="29">
        <v>0</v>
      </c>
      <c r="AK142" s="29">
        <v>0</v>
      </c>
      <c r="AL142" s="29">
        <v>0</v>
      </c>
      <c r="AM142" s="37">
        <v>1</v>
      </c>
      <c r="AN142" s="36">
        <v>0</v>
      </c>
      <c r="AO142" s="66">
        <v>0</v>
      </c>
      <c r="AP142" s="66">
        <v>0</v>
      </c>
      <c r="AQ142" s="66">
        <v>0</v>
      </c>
      <c r="AR142" s="66"/>
      <c r="AS142" s="66"/>
      <c r="AX142" s="34" t="str">
        <f t="shared" si="19"/>
        <v xml:space="preserve">2006, 2010, 2012, 2018, </v>
      </c>
      <c r="AY142" s="29"/>
      <c r="AZ142" s="29"/>
      <c r="BA142" s="29"/>
      <c r="BB142" s="29"/>
    </row>
    <row r="143" spans="1:54" x14ac:dyDescent="0.2">
      <c r="A143" s="24">
        <f t="shared" si="18"/>
        <v>140</v>
      </c>
      <c r="B143" s="25" t="s">
        <v>331</v>
      </c>
      <c r="C143" s="42" t="s">
        <v>332</v>
      </c>
      <c r="D143" s="25" t="s">
        <v>53</v>
      </c>
      <c r="E143" s="25">
        <v>0</v>
      </c>
      <c r="F143" s="25">
        <v>1</v>
      </c>
      <c r="G143" s="25">
        <v>1</v>
      </c>
      <c r="H143" s="25">
        <v>2</v>
      </c>
      <c r="I143" s="25">
        <v>1</v>
      </c>
      <c r="J143" s="25">
        <v>2</v>
      </c>
      <c r="K143" s="25">
        <v>1</v>
      </c>
      <c r="L143" s="25">
        <v>1</v>
      </c>
      <c r="M143" s="25">
        <v>1</v>
      </c>
      <c r="N143" s="25">
        <v>2</v>
      </c>
      <c r="O143" s="25">
        <v>1</v>
      </c>
      <c r="P143" s="25">
        <v>2</v>
      </c>
      <c r="Q143" s="25">
        <v>0</v>
      </c>
      <c r="R143" s="25">
        <v>0</v>
      </c>
      <c r="S143" s="25">
        <v>0</v>
      </c>
      <c r="T143" s="25">
        <v>0</v>
      </c>
      <c r="U143" s="35">
        <v>1</v>
      </c>
      <c r="V143" s="35">
        <v>1</v>
      </c>
      <c r="W143" s="35">
        <v>1</v>
      </c>
      <c r="X143" s="35">
        <v>1</v>
      </c>
      <c r="Y143" s="35">
        <v>1</v>
      </c>
      <c r="Z143" s="35">
        <v>1</v>
      </c>
      <c r="AA143" s="35">
        <v>1</v>
      </c>
      <c r="AB143" s="25">
        <v>0</v>
      </c>
      <c r="AC143" s="27">
        <v>0</v>
      </c>
      <c r="AD143" s="52">
        <v>0</v>
      </c>
      <c r="AE143" s="25">
        <v>0</v>
      </c>
      <c r="AF143" s="25">
        <v>0</v>
      </c>
      <c r="AG143" s="25">
        <v>0</v>
      </c>
      <c r="AH143" s="29">
        <v>0</v>
      </c>
      <c r="AI143" s="29">
        <v>0</v>
      </c>
      <c r="AJ143" s="29">
        <v>0</v>
      </c>
      <c r="AK143" s="29">
        <v>0</v>
      </c>
      <c r="AL143" s="29">
        <v>0</v>
      </c>
      <c r="AM143" s="32">
        <v>0</v>
      </c>
      <c r="AN143" s="36">
        <v>0</v>
      </c>
      <c r="AO143" s="66">
        <v>0</v>
      </c>
      <c r="AP143" s="66">
        <v>0</v>
      </c>
      <c r="AQ143" s="66">
        <v>0</v>
      </c>
      <c r="AR143" s="66"/>
      <c r="AS143" s="66"/>
      <c r="AX143" s="34" t="str">
        <f t="shared" si="19"/>
        <v xml:space="preserve">1985, 1986, 1987, 1988, 1989, 1990, 1991, 1992, 1993, 1994, 1995, 2000, 2001, 2002, 2003, 2004, 2005, 2006, </v>
      </c>
      <c r="AY143" s="29"/>
      <c r="AZ143" s="29"/>
      <c r="BA143" s="29"/>
      <c r="BB143" s="29"/>
    </row>
    <row r="144" spans="1:54" x14ac:dyDescent="0.2">
      <c r="A144" s="24">
        <f t="shared" si="18"/>
        <v>141</v>
      </c>
      <c r="B144" s="25" t="s">
        <v>333</v>
      </c>
      <c r="C144" s="34" t="s">
        <v>334</v>
      </c>
      <c r="D144" s="25" t="s">
        <v>53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0.5</v>
      </c>
      <c r="L144" s="25">
        <v>0</v>
      </c>
      <c r="M144" s="25">
        <v>1</v>
      </c>
      <c r="N144" s="25">
        <v>2</v>
      </c>
      <c r="O144" s="25">
        <v>1</v>
      </c>
      <c r="P144" s="25">
        <v>0</v>
      </c>
      <c r="Q144" s="25">
        <v>0</v>
      </c>
      <c r="R144" s="25">
        <v>0</v>
      </c>
      <c r="S144" s="25">
        <v>1</v>
      </c>
      <c r="T144" s="25">
        <v>0</v>
      </c>
      <c r="U144" s="25">
        <v>0</v>
      </c>
      <c r="V144" s="25">
        <v>0</v>
      </c>
      <c r="W144" s="30">
        <v>1</v>
      </c>
      <c r="X144" s="25">
        <v>0</v>
      </c>
      <c r="Y144" s="30">
        <v>1</v>
      </c>
      <c r="Z144" s="25">
        <v>0</v>
      </c>
      <c r="AA144" s="30">
        <v>1</v>
      </c>
      <c r="AB144" s="25">
        <v>0</v>
      </c>
      <c r="AC144" s="30">
        <v>1</v>
      </c>
      <c r="AD144" s="52">
        <v>0</v>
      </c>
      <c r="AE144" s="30">
        <v>1</v>
      </c>
      <c r="AF144" s="29">
        <v>0</v>
      </c>
      <c r="AG144" s="30">
        <v>1</v>
      </c>
      <c r="AH144" s="29">
        <v>0</v>
      </c>
      <c r="AI144" s="30">
        <v>1</v>
      </c>
      <c r="AJ144" s="25">
        <v>0</v>
      </c>
      <c r="AK144" s="30">
        <v>1</v>
      </c>
      <c r="AL144" s="29">
        <v>0</v>
      </c>
      <c r="AM144" s="56">
        <v>1</v>
      </c>
      <c r="AN144" s="36">
        <v>0</v>
      </c>
      <c r="AO144" s="66">
        <v>0</v>
      </c>
      <c r="AP144" s="66">
        <v>0</v>
      </c>
      <c r="AQ144" s="66">
        <v>0</v>
      </c>
      <c r="AR144" s="66"/>
      <c r="AS144" s="66"/>
      <c r="AX144" s="34" t="str">
        <f t="shared" si="19"/>
        <v xml:space="preserve">1992, 1993, 1994, 1998, 2002, 2004, 2006, 2008, 2010, 2012, 2014, 2016, 2018, </v>
      </c>
      <c r="AY144" s="29"/>
      <c r="AZ144" s="29"/>
      <c r="BA144" s="29"/>
      <c r="BB144" s="29"/>
    </row>
    <row r="145" spans="1:54" x14ac:dyDescent="0.2">
      <c r="A145" s="24">
        <f t="shared" si="18"/>
        <v>142</v>
      </c>
      <c r="B145" s="25" t="s">
        <v>335</v>
      </c>
      <c r="C145" s="26" t="s">
        <v>336</v>
      </c>
      <c r="D145" s="25" t="s">
        <v>53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>
        <v>0</v>
      </c>
      <c r="S145" s="25">
        <v>1</v>
      </c>
      <c r="T145" s="25">
        <v>0</v>
      </c>
      <c r="U145" s="25">
        <v>0</v>
      </c>
      <c r="V145" s="25">
        <v>0</v>
      </c>
      <c r="W145" s="25">
        <v>0</v>
      </c>
      <c r="X145" s="25">
        <v>0</v>
      </c>
      <c r="Y145" s="39">
        <v>1</v>
      </c>
      <c r="Z145" s="39">
        <v>1</v>
      </c>
      <c r="AA145" s="39">
        <v>1</v>
      </c>
      <c r="AB145" s="39">
        <v>1</v>
      </c>
      <c r="AC145" s="27">
        <v>0</v>
      </c>
      <c r="AD145" s="39">
        <v>1</v>
      </c>
      <c r="AE145" s="30">
        <v>1</v>
      </c>
      <c r="AF145" s="30">
        <v>1</v>
      </c>
      <c r="AG145" s="29">
        <v>0</v>
      </c>
      <c r="AH145" s="29">
        <v>0</v>
      </c>
      <c r="AI145" s="29">
        <v>0</v>
      </c>
      <c r="AJ145" s="29">
        <v>0</v>
      </c>
      <c r="AK145" s="30">
        <v>1</v>
      </c>
      <c r="AL145" s="29">
        <v>0</v>
      </c>
      <c r="AM145" s="32">
        <v>0</v>
      </c>
      <c r="AN145" s="36">
        <v>0</v>
      </c>
      <c r="AO145" s="66">
        <v>0</v>
      </c>
      <c r="AP145" s="66">
        <v>0</v>
      </c>
      <c r="AQ145" s="66">
        <v>0</v>
      </c>
      <c r="AR145" s="66"/>
      <c r="AS145" s="66"/>
      <c r="AX145" s="34" t="str">
        <f t="shared" si="19"/>
        <v xml:space="preserve">1998, 2004, 2005, 2006, 2007, 2009, 2010, 2011, 2016, </v>
      </c>
      <c r="AY145" s="29"/>
      <c r="AZ145" s="29"/>
      <c r="BA145" s="29"/>
      <c r="BB145" s="29"/>
    </row>
    <row r="146" spans="1:54" x14ac:dyDescent="0.2">
      <c r="A146" s="24">
        <f t="shared" si="18"/>
        <v>143</v>
      </c>
      <c r="B146" s="25" t="s">
        <v>337</v>
      </c>
      <c r="C146" s="26" t="s">
        <v>338</v>
      </c>
      <c r="D146" s="25" t="s">
        <v>53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1</v>
      </c>
      <c r="M146" s="25">
        <v>1</v>
      </c>
      <c r="N146" s="25">
        <v>0</v>
      </c>
      <c r="O146" s="25">
        <v>0</v>
      </c>
      <c r="P146" s="25">
        <v>0</v>
      </c>
      <c r="Q146" s="25">
        <v>0</v>
      </c>
      <c r="R146" s="25">
        <v>0</v>
      </c>
      <c r="S146" s="25">
        <v>1</v>
      </c>
      <c r="T146" s="25">
        <v>0</v>
      </c>
      <c r="U146" s="25">
        <v>0</v>
      </c>
      <c r="V146" s="25">
        <v>0</v>
      </c>
      <c r="W146" s="25">
        <v>0</v>
      </c>
      <c r="X146" s="25">
        <v>0</v>
      </c>
      <c r="Y146" s="25">
        <v>0</v>
      </c>
      <c r="Z146" s="39">
        <v>1</v>
      </c>
      <c r="AA146" s="25">
        <v>0</v>
      </c>
      <c r="AB146" s="25">
        <v>0</v>
      </c>
      <c r="AC146" s="27">
        <v>0</v>
      </c>
      <c r="AD146" s="28">
        <v>0</v>
      </c>
      <c r="AE146" s="29">
        <v>0</v>
      </c>
      <c r="AF146" s="29">
        <v>0</v>
      </c>
      <c r="AG146" s="29">
        <v>0</v>
      </c>
      <c r="AH146" s="29">
        <v>0</v>
      </c>
      <c r="AI146" s="30">
        <v>1</v>
      </c>
      <c r="AJ146" s="29">
        <v>0</v>
      </c>
      <c r="AK146" s="29">
        <v>0</v>
      </c>
      <c r="AL146" s="29">
        <v>0</v>
      </c>
      <c r="AM146" s="32">
        <v>0</v>
      </c>
      <c r="AN146" s="36">
        <v>0</v>
      </c>
      <c r="AO146" s="66">
        <v>0</v>
      </c>
      <c r="AP146" s="66">
        <v>0</v>
      </c>
      <c r="AQ146" s="66">
        <v>0</v>
      </c>
      <c r="AR146" s="66"/>
      <c r="AS146" s="66"/>
      <c r="AX146" s="34" t="str">
        <f t="shared" si="19"/>
        <v xml:space="preserve">1991, 1992, 1998, 2005, 2014, </v>
      </c>
      <c r="AY146" s="29"/>
      <c r="AZ146" s="29"/>
      <c r="BA146" s="29"/>
      <c r="BB146" s="29"/>
    </row>
    <row r="147" spans="1:54" x14ac:dyDescent="0.2">
      <c r="A147" s="24">
        <f t="shared" si="18"/>
        <v>144</v>
      </c>
      <c r="B147" s="25" t="s">
        <v>339</v>
      </c>
      <c r="C147" s="26" t="s">
        <v>340</v>
      </c>
      <c r="D147" s="25" t="s">
        <v>53</v>
      </c>
      <c r="E147" s="25">
        <v>0</v>
      </c>
      <c r="F147" s="25">
        <v>0</v>
      </c>
      <c r="G147" s="25">
        <v>0</v>
      </c>
      <c r="H147" s="25">
        <v>0</v>
      </c>
      <c r="I147" s="25">
        <v>0</v>
      </c>
      <c r="J147" s="25">
        <v>0</v>
      </c>
      <c r="K147" s="25">
        <v>0</v>
      </c>
      <c r="L147" s="25">
        <v>2</v>
      </c>
      <c r="M147" s="25">
        <v>0</v>
      </c>
      <c r="N147" s="25">
        <v>2</v>
      </c>
      <c r="O147" s="25">
        <v>0</v>
      </c>
      <c r="P147" s="25">
        <v>0</v>
      </c>
      <c r="Q147" s="25">
        <v>0</v>
      </c>
      <c r="R147" s="25">
        <v>0</v>
      </c>
      <c r="S147" s="25">
        <v>1</v>
      </c>
      <c r="T147" s="25">
        <v>0</v>
      </c>
      <c r="U147" s="25">
        <v>0</v>
      </c>
      <c r="V147" s="25">
        <v>0</v>
      </c>
      <c r="W147" s="39">
        <v>1</v>
      </c>
      <c r="X147" s="25">
        <v>0</v>
      </c>
      <c r="Y147" s="39">
        <v>1</v>
      </c>
      <c r="Z147" s="25">
        <v>0</v>
      </c>
      <c r="AA147" s="39">
        <v>1</v>
      </c>
      <c r="AB147" s="25">
        <v>0</v>
      </c>
      <c r="AC147" s="27">
        <v>0</v>
      </c>
      <c r="AD147" s="28">
        <v>0</v>
      </c>
      <c r="AE147" s="30">
        <v>1</v>
      </c>
      <c r="AF147" s="29">
        <v>0</v>
      </c>
      <c r="AG147" s="29">
        <v>0</v>
      </c>
      <c r="AH147" s="29">
        <v>0</v>
      </c>
      <c r="AI147" s="29">
        <v>0</v>
      </c>
      <c r="AJ147" s="30">
        <v>1</v>
      </c>
      <c r="AK147" s="29">
        <v>0</v>
      </c>
      <c r="AL147" s="29">
        <v>0</v>
      </c>
      <c r="AM147" s="32">
        <v>0</v>
      </c>
      <c r="AN147" s="36">
        <v>0</v>
      </c>
      <c r="AO147" s="66">
        <v>0</v>
      </c>
      <c r="AP147" s="66">
        <v>0</v>
      </c>
      <c r="AQ147" s="66">
        <v>0</v>
      </c>
      <c r="AR147" s="66"/>
      <c r="AS147" s="66"/>
      <c r="AX147" s="34" t="str">
        <f t="shared" si="19"/>
        <v xml:space="preserve">1991, 1993, 1998, 2002, 2004, 2006, 2010, 2015, </v>
      </c>
      <c r="AY147" s="29"/>
      <c r="AZ147" s="29"/>
      <c r="BA147" s="29"/>
      <c r="BB147" s="29"/>
    </row>
    <row r="148" spans="1:54" x14ac:dyDescent="0.2">
      <c r="A148" s="24">
        <f t="shared" si="18"/>
        <v>145</v>
      </c>
      <c r="B148" s="25" t="s">
        <v>341</v>
      </c>
      <c r="C148" s="26" t="s">
        <v>342</v>
      </c>
      <c r="D148" s="25" t="s">
        <v>53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1</v>
      </c>
      <c r="L148" s="25">
        <v>1</v>
      </c>
      <c r="M148" s="25">
        <v>0</v>
      </c>
      <c r="N148" s="25">
        <v>1</v>
      </c>
      <c r="O148" s="25">
        <v>0</v>
      </c>
      <c r="P148" s="25">
        <v>2</v>
      </c>
      <c r="Q148" s="25">
        <v>0</v>
      </c>
      <c r="R148" s="25">
        <v>0</v>
      </c>
      <c r="S148" s="25">
        <v>0</v>
      </c>
      <c r="T148" s="25">
        <v>0</v>
      </c>
      <c r="U148" s="25">
        <v>0</v>
      </c>
      <c r="V148" s="25">
        <v>0</v>
      </c>
      <c r="W148" s="25">
        <v>0</v>
      </c>
      <c r="X148" s="25">
        <v>0</v>
      </c>
      <c r="Y148" s="25">
        <v>0</v>
      </c>
      <c r="Z148" s="25">
        <v>0</v>
      </c>
      <c r="AA148" s="25">
        <v>0</v>
      </c>
      <c r="AB148" s="35">
        <v>1</v>
      </c>
      <c r="AC148" s="48">
        <v>1</v>
      </c>
      <c r="AD148" s="28">
        <v>0</v>
      </c>
      <c r="AE148" s="29">
        <v>0</v>
      </c>
      <c r="AF148" s="30">
        <v>1</v>
      </c>
      <c r="AG148" s="29">
        <v>0</v>
      </c>
      <c r="AH148" s="29">
        <v>0</v>
      </c>
      <c r="AI148" s="29">
        <v>0</v>
      </c>
      <c r="AJ148" s="29">
        <v>0</v>
      </c>
      <c r="AK148" s="29">
        <v>0</v>
      </c>
      <c r="AL148" s="30">
        <v>1</v>
      </c>
      <c r="AM148" s="32">
        <v>0</v>
      </c>
      <c r="AN148" s="33">
        <v>1</v>
      </c>
      <c r="AO148" s="25">
        <v>0</v>
      </c>
      <c r="AP148" s="66">
        <v>0</v>
      </c>
      <c r="AQ148" s="66">
        <v>0</v>
      </c>
      <c r="AR148" s="66"/>
      <c r="AS148" s="66"/>
      <c r="AX148" s="34" t="str">
        <f t="shared" si="19"/>
        <v xml:space="preserve">1990, 1991, 1993, 1995, 2007, 2008, 2011, 2017, 2019, </v>
      </c>
      <c r="AY148" s="29"/>
      <c r="AZ148" s="29"/>
      <c r="BA148" s="29"/>
      <c r="BB148" s="29"/>
    </row>
    <row r="149" spans="1:54" x14ac:dyDescent="0.2">
      <c r="A149" s="24">
        <f t="shared" si="18"/>
        <v>146</v>
      </c>
      <c r="B149" s="67" t="s">
        <v>343</v>
      </c>
      <c r="C149" s="67" t="s">
        <v>344</v>
      </c>
      <c r="D149" s="25" t="s">
        <v>53</v>
      </c>
      <c r="E149" s="25">
        <v>0</v>
      </c>
      <c r="F149" s="62">
        <v>0</v>
      </c>
      <c r="G149" s="62">
        <v>0</v>
      </c>
      <c r="H149" s="62">
        <v>0</v>
      </c>
      <c r="I149" s="62">
        <v>0</v>
      </c>
      <c r="J149" s="62">
        <v>0</v>
      </c>
      <c r="K149" s="62">
        <v>0</v>
      </c>
      <c r="L149" s="62">
        <v>0</v>
      </c>
      <c r="M149" s="62">
        <v>0</v>
      </c>
      <c r="N149" s="62">
        <v>0</v>
      </c>
      <c r="O149" s="68">
        <v>1</v>
      </c>
      <c r="P149" s="69">
        <v>0</v>
      </c>
      <c r="Q149" s="62">
        <v>0</v>
      </c>
      <c r="R149" s="62">
        <v>0</v>
      </c>
      <c r="S149" s="62">
        <v>0</v>
      </c>
      <c r="T149" s="62">
        <v>0</v>
      </c>
      <c r="U149" s="62">
        <v>0</v>
      </c>
      <c r="V149" s="62">
        <v>0</v>
      </c>
      <c r="W149" s="62">
        <v>0</v>
      </c>
      <c r="X149" s="62">
        <v>0</v>
      </c>
      <c r="Y149" s="62">
        <v>0</v>
      </c>
      <c r="Z149" s="68">
        <v>1</v>
      </c>
      <c r="AA149" s="69">
        <v>0</v>
      </c>
      <c r="AB149" s="62">
        <v>0</v>
      </c>
      <c r="AC149" s="62">
        <v>0</v>
      </c>
      <c r="AD149" s="62">
        <v>0</v>
      </c>
      <c r="AE149" s="62">
        <v>0</v>
      </c>
      <c r="AF149" s="62">
        <v>0</v>
      </c>
      <c r="AG149" s="62">
        <v>0</v>
      </c>
      <c r="AH149" s="62">
        <v>0</v>
      </c>
      <c r="AI149" s="68">
        <v>1</v>
      </c>
      <c r="AJ149" s="69">
        <v>0</v>
      </c>
      <c r="AK149" s="62">
        <v>0</v>
      </c>
      <c r="AL149" s="62">
        <v>0</v>
      </c>
      <c r="AM149" s="62">
        <v>0</v>
      </c>
      <c r="AN149" s="62">
        <v>0</v>
      </c>
      <c r="AO149" s="78">
        <v>0</v>
      </c>
      <c r="AP149" s="66">
        <v>0</v>
      </c>
      <c r="AQ149" s="66">
        <v>0</v>
      </c>
      <c r="AR149" s="66"/>
      <c r="AS149" s="66"/>
      <c r="AX149" s="34" t="str">
        <f t="shared" si="19"/>
        <v xml:space="preserve">1994, 2005, 2014, </v>
      </c>
      <c r="AY149" s="80" t="s">
        <v>345</v>
      </c>
      <c r="AZ149" s="76"/>
      <c r="BA149" s="76"/>
      <c r="BB149" s="76"/>
    </row>
    <row r="150" spans="1:54" x14ac:dyDescent="0.2">
      <c r="A150" s="24">
        <f t="shared" si="18"/>
        <v>147</v>
      </c>
      <c r="B150" s="67" t="s">
        <v>346</v>
      </c>
      <c r="C150" s="67" t="s">
        <v>347</v>
      </c>
      <c r="D150" s="25" t="s">
        <v>53</v>
      </c>
      <c r="E150" s="25">
        <v>0</v>
      </c>
      <c r="F150" s="62">
        <v>0</v>
      </c>
      <c r="G150" s="62">
        <v>0</v>
      </c>
      <c r="H150" s="62">
        <v>0</v>
      </c>
      <c r="I150" s="62">
        <v>0</v>
      </c>
      <c r="J150" s="62">
        <v>0</v>
      </c>
      <c r="K150" s="62">
        <v>0</v>
      </c>
      <c r="L150" s="62">
        <v>0</v>
      </c>
      <c r="M150" s="62">
        <v>0</v>
      </c>
      <c r="N150" s="62">
        <v>0</v>
      </c>
      <c r="O150" s="62">
        <v>0</v>
      </c>
      <c r="P150" s="62">
        <v>0</v>
      </c>
      <c r="Q150" s="62">
        <v>0</v>
      </c>
      <c r="R150" s="62">
        <v>0</v>
      </c>
      <c r="S150" s="62">
        <v>0</v>
      </c>
      <c r="T150" s="62">
        <v>0</v>
      </c>
      <c r="U150" s="62">
        <v>0</v>
      </c>
      <c r="V150" s="62">
        <v>0</v>
      </c>
      <c r="W150" s="62">
        <v>0</v>
      </c>
      <c r="X150" s="62">
        <v>0</v>
      </c>
      <c r="Y150" s="62">
        <v>0</v>
      </c>
      <c r="Z150" s="62">
        <v>0</v>
      </c>
      <c r="AA150" s="62">
        <v>0</v>
      </c>
      <c r="AB150" s="62">
        <v>0</v>
      </c>
      <c r="AC150" s="62">
        <v>0</v>
      </c>
      <c r="AD150" s="62">
        <v>0</v>
      </c>
      <c r="AE150" s="62">
        <v>0</v>
      </c>
      <c r="AF150" s="62">
        <v>0</v>
      </c>
      <c r="AG150" s="62">
        <v>0</v>
      </c>
      <c r="AH150" s="62">
        <v>0</v>
      </c>
      <c r="AI150" s="62">
        <v>0</v>
      </c>
      <c r="AJ150" s="62">
        <v>0</v>
      </c>
      <c r="AK150" s="62">
        <v>0</v>
      </c>
      <c r="AL150" s="62">
        <v>0</v>
      </c>
      <c r="AM150" s="62">
        <v>0</v>
      </c>
      <c r="AN150" s="62">
        <v>0</v>
      </c>
      <c r="AO150" s="78">
        <v>0</v>
      </c>
      <c r="AP150" s="66">
        <v>0</v>
      </c>
      <c r="AQ150" s="66">
        <v>0</v>
      </c>
      <c r="AR150" s="66"/>
      <c r="AS150" s="66"/>
      <c r="AX150" s="34" t="str">
        <f t="shared" si="19"/>
        <v/>
      </c>
      <c r="AY150" s="76"/>
      <c r="AZ150" s="76"/>
      <c r="BA150" s="76"/>
      <c r="BB150" s="76"/>
    </row>
    <row r="151" spans="1:54" x14ac:dyDescent="0.2">
      <c r="A151" s="24">
        <f t="shared" si="18"/>
        <v>148</v>
      </c>
      <c r="B151" s="67" t="s">
        <v>348</v>
      </c>
      <c r="C151" s="67" t="s">
        <v>349</v>
      </c>
      <c r="D151" s="25" t="s">
        <v>53</v>
      </c>
      <c r="E151" s="25">
        <v>0</v>
      </c>
      <c r="F151" s="62">
        <v>0</v>
      </c>
      <c r="G151" s="62">
        <v>0</v>
      </c>
      <c r="H151" s="62">
        <v>0</v>
      </c>
      <c r="I151" s="62">
        <v>0</v>
      </c>
      <c r="J151" s="62">
        <v>0</v>
      </c>
      <c r="K151" s="62">
        <v>0</v>
      </c>
      <c r="L151" s="62">
        <v>0</v>
      </c>
      <c r="M151" s="62">
        <v>0</v>
      </c>
      <c r="N151" s="62">
        <v>0</v>
      </c>
      <c r="O151" s="62">
        <v>0</v>
      </c>
      <c r="P151" s="62">
        <v>0</v>
      </c>
      <c r="Q151" s="62">
        <v>0</v>
      </c>
      <c r="R151" s="62">
        <v>0</v>
      </c>
      <c r="S151" s="62">
        <v>0</v>
      </c>
      <c r="T151" s="62">
        <v>0</v>
      </c>
      <c r="U151" s="62">
        <v>0</v>
      </c>
      <c r="V151" s="62">
        <v>0</v>
      </c>
      <c r="W151" s="62">
        <v>0</v>
      </c>
      <c r="X151" s="62">
        <v>0</v>
      </c>
      <c r="Y151" s="62">
        <v>0</v>
      </c>
      <c r="Z151" s="62">
        <v>0</v>
      </c>
      <c r="AA151" s="62">
        <v>0</v>
      </c>
      <c r="AB151" s="62">
        <v>0</v>
      </c>
      <c r="AC151" s="62">
        <v>0</v>
      </c>
      <c r="AD151" s="70">
        <v>1</v>
      </c>
      <c r="AE151" s="70">
        <v>1</v>
      </c>
      <c r="AF151" s="70">
        <v>1</v>
      </c>
      <c r="AG151" s="70">
        <v>1</v>
      </c>
      <c r="AH151" s="70">
        <v>1</v>
      </c>
      <c r="AI151" s="70">
        <v>1</v>
      </c>
      <c r="AJ151" s="70">
        <v>1</v>
      </c>
      <c r="AK151" s="70">
        <v>1</v>
      </c>
      <c r="AL151" s="70">
        <v>1</v>
      </c>
      <c r="AM151" s="70">
        <v>1</v>
      </c>
      <c r="AN151" s="70">
        <v>1</v>
      </c>
      <c r="AO151" s="78">
        <v>1</v>
      </c>
      <c r="AP151" s="66">
        <v>1</v>
      </c>
      <c r="AQ151" s="66">
        <v>1</v>
      </c>
      <c r="AR151" s="66"/>
      <c r="AS151" s="66"/>
      <c r="AX151" s="34" t="str">
        <f t="shared" si="19"/>
        <v xml:space="preserve">2009, 2010, 2011, 2012, 2013, 2014, 2015, 2016, 2017, 2018, 2019, 2020, 2021, 2022, </v>
      </c>
      <c r="AY151" s="80" t="s">
        <v>350</v>
      </c>
      <c r="AZ151" s="76"/>
      <c r="BA151" s="76"/>
      <c r="BB151" s="76"/>
    </row>
    <row r="152" spans="1:54" ht="15" customHeight="1" x14ac:dyDescent="0.2">
      <c r="A152" s="24">
        <f t="shared" si="18"/>
        <v>149</v>
      </c>
      <c r="B152" s="67" t="s">
        <v>351</v>
      </c>
      <c r="C152" s="67" t="s">
        <v>352</v>
      </c>
      <c r="D152" s="25" t="s">
        <v>53</v>
      </c>
      <c r="E152" s="25">
        <v>0</v>
      </c>
      <c r="F152" s="62">
        <v>0</v>
      </c>
      <c r="G152" s="62">
        <v>0</v>
      </c>
      <c r="H152" s="62">
        <v>0</v>
      </c>
      <c r="I152" s="62">
        <v>0</v>
      </c>
      <c r="J152" s="62">
        <v>0</v>
      </c>
      <c r="K152" s="62">
        <v>0</v>
      </c>
      <c r="L152" s="62">
        <v>0</v>
      </c>
      <c r="M152" s="62">
        <v>0</v>
      </c>
      <c r="N152" s="68">
        <v>1</v>
      </c>
      <c r="O152" s="68">
        <v>1</v>
      </c>
      <c r="P152" s="62">
        <v>0</v>
      </c>
      <c r="Q152" s="62">
        <v>0</v>
      </c>
      <c r="R152" s="62">
        <v>0</v>
      </c>
      <c r="S152" s="68">
        <v>1</v>
      </c>
      <c r="T152" s="62">
        <v>0</v>
      </c>
      <c r="U152" s="62">
        <v>0</v>
      </c>
      <c r="V152" s="62">
        <v>0</v>
      </c>
      <c r="W152" s="68">
        <v>1</v>
      </c>
      <c r="X152" s="68">
        <v>1</v>
      </c>
      <c r="Y152" s="68">
        <v>2</v>
      </c>
      <c r="Z152" s="68">
        <v>1</v>
      </c>
      <c r="AA152" s="68">
        <v>1</v>
      </c>
      <c r="AB152" s="68">
        <v>1</v>
      </c>
      <c r="AC152" s="68">
        <v>2</v>
      </c>
      <c r="AD152" s="70">
        <v>2</v>
      </c>
      <c r="AE152" s="70">
        <v>2</v>
      </c>
      <c r="AF152" s="70">
        <v>2</v>
      </c>
      <c r="AG152" s="70">
        <v>2</v>
      </c>
      <c r="AH152" s="70">
        <v>2</v>
      </c>
      <c r="AI152" s="70">
        <v>2</v>
      </c>
      <c r="AJ152" s="70">
        <v>2</v>
      </c>
      <c r="AK152" s="70">
        <v>2</v>
      </c>
      <c r="AL152" s="70">
        <v>2</v>
      </c>
      <c r="AM152" s="70">
        <v>2</v>
      </c>
      <c r="AN152" s="70">
        <v>2</v>
      </c>
      <c r="AO152" s="78">
        <v>1</v>
      </c>
      <c r="AP152" s="66">
        <v>1</v>
      </c>
      <c r="AQ152" s="66">
        <v>1</v>
      </c>
      <c r="AR152" s="66"/>
      <c r="AS152" s="66"/>
      <c r="AX152" s="34" t="str">
        <f t="shared" si="19"/>
        <v xml:space="preserve">1993, 1994, 1998, 2002, 2003, 2004, 2005, 2006, 2007, 2008, 2009, 2010, 2011, 2012, 2013, 2014, 2015, 2016, 2017, 2018, 2019, 2020, 2021, 2022, </v>
      </c>
      <c r="AY152" s="80" t="s">
        <v>353</v>
      </c>
      <c r="AZ152" s="76"/>
      <c r="BA152" s="76"/>
      <c r="BB152" s="76"/>
    </row>
    <row r="153" spans="1:54" x14ac:dyDescent="0.2">
      <c r="A153" s="24">
        <f t="shared" si="18"/>
        <v>150</v>
      </c>
      <c r="B153" s="67" t="s">
        <v>354</v>
      </c>
      <c r="C153" s="67" t="s">
        <v>355</v>
      </c>
      <c r="D153" s="25" t="s">
        <v>53</v>
      </c>
      <c r="E153" s="25">
        <v>0</v>
      </c>
      <c r="F153" s="62">
        <v>0</v>
      </c>
      <c r="G153" s="62">
        <v>0</v>
      </c>
      <c r="H153" s="62">
        <v>0</v>
      </c>
      <c r="I153" s="62">
        <v>0</v>
      </c>
      <c r="J153" s="62">
        <v>0</v>
      </c>
      <c r="K153" s="62">
        <v>0</v>
      </c>
      <c r="L153" s="62">
        <v>0</v>
      </c>
      <c r="M153" s="62">
        <v>0</v>
      </c>
      <c r="N153" s="62">
        <v>0</v>
      </c>
      <c r="O153" s="62">
        <v>0</v>
      </c>
      <c r="P153" s="62">
        <v>0</v>
      </c>
      <c r="Q153" s="62">
        <v>0</v>
      </c>
      <c r="R153" s="62">
        <v>0</v>
      </c>
      <c r="S153" s="62">
        <v>0</v>
      </c>
      <c r="T153" s="62">
        <v>0</v>
      </c>
      <c r="U153" s="62">
        <v>0</v>
      </c>
      <c r="V153" s="62">
        <v>0</v>
      </c>
      <c r="W153" s="62">
        <v>0</v>
      </c>
      <c r="X153" s="62">
        <v>0</v>
      </c>
      <c r="Y153" s="68">
        <v>1</v>
      </c>
      <c r="Z153" s="68">
        <v>2</v>
      </c>
      <c r="AA153" s="68">
        <v>2</v>
      </c>
      <c r="AB153" s="68">
        <v>2</v>
      </c>
      <c r="AC153" s="68">
        <v>2</v>
      </c>
      <c r="AD153" s="68">
        <v>2</v>
      </c>
      <c r="AE153" s="68">
        <v>2</v>
      </c>
      <c r="AF153" s="68">
        <v>2</v>
      </c>
      <c r="AG153" s="68">
        <v>2</v>
      </c>
      <c r="AH153" s="68">
        <v>2</v>
      </c>
      <c r="AI153" s="68">
        <v>2</v>
      </c>
      <c r="AJ153" s="68">
        <v>2</v>
      </c>
      <c r="AK153" s="68">
        <v>2</v>
      </c>
      <c r="AL153" s="68">
        <v>2</v>
      </c>
      <c r="AM153" s="68">
        <v>2</v>
      </c>
      <c r="AN153" s="68">
        <v>1</v>
      </c>
      <c r="AO153" s="78">
        <v>1</v>
      </c>
      <c r="AP153" s="66">
        <v>1</v>
      </c>
      <c r="AQ153" s="66">
        <v>1</v>
      </c>
      <c r="AR153" s="66"/>
      <c r="AS153" s="66"/>
      <c r="AX153" s="34" t="str">
        <f t="shared" si="19"/>
        <v xml:space="preserve">2004, 2005, 2006, 2007, 2008, 2009, 2010, 2011, 2012, 2013, 2014, 2015, 2016, 2017, 2018, 2019, 2020, 2021, 2022, </v>
      </c>
      <c r="AY153" s="76" t="s">
        <v>356</v>
      </c>
      <c r="AZ153" s="76"/>
      <c r="BA153" s="76"/>
      <c r="BB153" s="76"/>
    </row>
    <row r="154" spans="1:54" x14ac:dyDescent="0.2">
      <c r="A154" s="24">
        <f t="shared" si="18"/>
        <v>151</v>
      </c>
      <c r="B154" s="67" t="s">
        <v>357</v>
      </c>
      <c r="C154" s="67" t="s">
        <v>358</v>
      </c>
      <c r="D154" s="25" t="s">
        <v>53</v>
      </c>
      <c r="E154" s="25">
        <v>0</v>
      </c>
      <c r="F154" s="62">
        <v>0</v>
      </c>
      <c r="G154" s="62">
        <v>0</v>
      </c>
      <c r="H154" s="62">
        <v>0</v>
      </c>
      <c r="I154" s="62">
        <v>0</v>
      </c>
      <c r="J154" s="62">
        <v>0</v>
      </c>
      <c r="K154" s="62">
        <v>0</v>
      </c>
      <c r="L154" s="62">
        <v>0</v>
      </c>
      <c r="M154" s="62">
        <v>0</v>
      </c>
      <c r="N154" s="62">
        <v>0</v>
      </c>
      <c r="O154" s="62">
        <v>0</v>
      </c>
      <c r="P154" s="62">
        <v>0</v>
      </c>
      <c r="Q154" s="62">
        <v>0</v>
      </c>
      <c r="R154" s="62">
        <v>0</v>
      </c>
      <c r="S154" s="62">
        <v>0</v>
      </c>
      <c r="T154" s="62">
        <v>0</v>
      </c>
      <c r="U154" s="62">
        <v>0</v>
      </c>
      <c r="V154" s="62">
        <v>0</v>
      </c>
      <c r="W154" s="68">
        <v>1</v>
      </c>
      <c r="X154" s="68">
        <v>1</v>
      </c>
      <c r="Y154" s="68">
        <v>1</v>
      </c>
      <c r="Z154" s="68">
        <v>1</v>
      </c>
      <c r="AA154" s="68">
        <v>1</v>
      </c>
      <c r="AB154" s="68">
        <v>1</v>
      </c>
      <c r="AC154" s="68">
        <v>1</v>
      </c>
      <c r="AD154" s="68">
        <v>1</v>
      </c>
      <c r="AE154" s="68">
        <v>1</v>
      </c>
      <c r="AF154" s="68">
        <v>1</v>
      </c>
      <c r="AG154" s="68">
        <v>1</v>
      </c>
      <c r="AH154" s="68">
        <v>1</v>
      </c>
      <c r="AI154" s="70">
        <v>2</v>
      </c>
      <c r="AJ154" s="70">
        <v>2</v>
      </c>
      <c r="AK154" s="70">
        <v>2</v>
      </c>
      <c r="AL154" s="68">
        <v>1</v>
      </c>
      <c r="AM154" s="68">
        <v>1</v>
      </c>
      <c r="AN154" s="70">
        <v>2</v>
      </c>
      <c r="AO154" s="78">
        <v>1</v>
      </c>
      <c r="AP154" s="66">
        <v>1</v>
      </c>
      <c r="AQ154" s="66">
        <v>1</v>
      </c>
      <c r="AR154" s="66"/>
      <c r="AS154" s="66"/>
      <c r="AX154" s="34" t="str">
        <f t="shared" si="19"/>
        <v xml:space="preserve">2002, 2003, 2004, 2005, 2006, 2007, 2008, 2009, 2010, 2011, 2012, 2013, 2014, 2015, 2016, 2017, 2018, 2019, 2020, 2021, 2022, </v>
      </c>
      <c r="AY154" s="80" t="s">
        <v>359</v>
      </c>
      <c r="AZ154" s="80" t="s">
        <v>360</v>
      </c>
      <c r="BA154" s="76"/>
      <c r="BB154" s="76"/>
    </row>
    <row r="155" spans="1:54" ht="18" customHeight="1" x14ac:dyDescent="0.2">
      <c r="A155" s="24">
        <f t="shared" si="18"/>
        <v>152</v>
      </c>
      <c r="B155" s="67" t="s">
        <v>361</v>
      </c>
      <c r="C155" s="67" t="s">
        <v>362</v>
      </c>
      <c r="D155" s="25" t="s">
        <v>53</v>
      </c>
      <c r="E155" s="25">
        <v>0</v>
      </c>
      <c r="F155" s="62">
        <v>0</v>
      </c>
      <c r="G155" s="62">
        <v>0</v>
      </c>
      <c r="H155" s="62">
        <v>0</v>
      </c>
      <c r="I155" s="62">
        <v>0</v>
      </c>
      <c r="J155" s="62">
        <v>0</v>
      </c>
      <c r="K155" s="62">
        <v>0</v>
      </c>
      <c r="L155" s="62">
        <v>0</v>
      </c>
      <c r="M155" s="62">
        <v>0</v>
      </c>
      <c r="N155" s="62">
        <v>0</v>
      </c>
      <c r="O155" s="62">
        <v>0</v>
      </c>
      <c r="P155" s="62">
        <v>0</v>
      </c>
      <c r="Q155" s="62">
        <v>0</v>
      </c>
      <c r="R155" s="62">
        <v>0</v>
      </c>
      <c r="S155" s="62">
        <v>0</v>
      </c>
      <c r="T155" s="62">
        <v>0</v>
      </c>
      <c r="U155" s="62">
        <v>0</v>
      </c>
      <c r="V155" s="62">
        <v>0</v>
      </c>
      <c r="W155" s="62">
        <v>0</v>
      </c>
      <c r="X155" s="62">
        <v>0</v>
      </c>
      <c r="Y155" s="62">
        <v>0</v>
      </c>
      <c r="Z155" s="62">
        <v>0</v>
      </c>
      <c r="AA155" s="62">
        <v>0</v>
      </c>
      <c r="AB155" s="62">
        <v>0</v>
      </c>
      <c r="AC155" s="68">
        <v>1</v>
      </c>
      <c r="AD155" s="62">
        <v>0</v>
      </c>
      <c r="AE155" s="68">
        <v>1</v>
      </c>
      <c r="AF155" s="68">
        <v>1</v>
      </c>
      <c r="AG155" s="70">
        <v>2</v>
      </c>
      <c r="AH155" s="68">
        <v>1</v>
      </c>
      <c r="AI155" s="68">
        <v>1</v>
      </c>
      <c r="AJ155" s="68">
        <v>1</v>
      </c>
      <c r="AK155" s="70">
        <v>2</v>
      </c>
      <c r="AL155" s="68">
        <v>1</v>
      </c>
      <c r="AM155" s="68">
        <v>1</v>
      </c>
      <c r="AN155" s="68">
        <v>1</v>
      </c>
      <c r="AO155" s="78">
        <v>1</v>
      </c>
      <c r="AP155" s="66">
        <v>1</v>
      </c>
      <c r="AQ155" s="66">
        <v>1</v>
      </c>
      <c r="AR155" s="66"/>
      <c r="AS155" s="66"/>
      <c r="AX155" s="34" t="str">
        <f t="shared" si="19"/>
        <v xml:space="preserve">2008, 2010, 2011, 2012, 2013, 2014, 2015, 2016, 2017, 2018, 2019, 2020, 2021, 2022, </v>
      </c>
      <c r="AY155" s="80" t="s">
        <v>363</v>
      </c>
      <c r="AZ155" s="76"/>
      <c r="BA155" s="76"/>
      <c r="BB155" s="76"/>
    </row>
    <row r="156" spans="1:54" ht="18" customHeight="1" x14ac:dyDescent="0.2">
      <c r="A156" s="24">
        <f t="shared" si="18"/>
        <v>153</v>
      </c>
      <c r="B156" s="67" t="s">
        <v>364</v>
      </c>
      <c r="C156" s="67" t="s">
        <v>365</v>
      </c>
      <c r="D156" s="25" t="s">
        <v>53</v>
      </c>
      <c r="E156" s="25">
        <v>0</v>
      </c>
      <c r="F156" s="62">
        <v>0</v>
      </c>
      <c r="G156" s="62">
        <v>0</v>
      </c>
      <c r="H156" s="62">
        <v>0</v>
      </c>
      <c r="I156" s="62">
        <v>0</v>
      </c>
      <c r="J156" s="62">
        <v>0</v>
      </c>
      <c r="K156" s="62">
        <v>0</v>
      </c>
      <c r="L156" s="62">
        <v>0</v>
      </c>
      <c r="M156" s="62">
        <v>0</v>
      </c>
      <c r="N156" s="62">
        <v>0</v>
      </c>
      <c r="O156" s="62">
        <v>0</v>
      </c>
      <c r="P156" s="62">
        <v>0</v>
      </c>
      <c r="Q156" s="62">
        <v>0</v>
      </c>
      <c r="R156" s="62">
        <v>0</v>
      </c>
      <c r="S156" s="62">
        <v>0</v>
      </c>
      <c r="T156" s="68">
        <v>1</v>
      </c>
      <c r="U156" s="62">
        <v>0</v>
      </c>
      <c r="V156" s="62">
        <v>0</v>
      </c>
      <c r="W156" s="62">
        <v>0</v>
      </c>
      <c r="X156" s="62">
        <v>0</v>
      </c>
      <c r="Y156" s="62">
        <v>0</v>
      </c>
      <c r="Z156" s="62">
        <v>0</v>
      </c>
      <c r="AA156" s="68">
        <v>1</v>
      </c>
      <c r="AB156" s="68">
        <v>1</v>
      </c>
      <c r="AC156" s="68">
        <v>1</v>
      </c>
      <c r="AD156" s="68">
        <v>1</v>
      </c>
      <c r="AE156" s="68">
        <v>1</v>
      </c>
      <c r="AF156" s="62">
        <v>0</v>
      </c>
      <c r="AG156" s="62">
        <v>0</v>
      </c>
      <c r="AH156" s="62">
        <v>0</v>
      </c>
      <c r="AI156" s="62">
        <v>0</v>
      </c>
      <c r="AJ156" s="68">
        <v>1</v>
      </c>
      <c r="AK156" s="62">
        <v>0</v>
      </c>
      <c r="AL156" s="62">
        <v>0</v>
      </c>
      <c r="AM156" s="68">
        <v>1</v>
      </c>
      <c r="AN156" s="62">
        <v>0</v>
      </c>
      <c r="AO156" s="78">
        <v>0</v>
      </c>
      <c r="AP156" s="66">
        <v>0</v>
      </c>
      <c r="AQ156" s="66">
        <v>0</v>
      </c>
      <c r="AR156" s="66"/>
      <c r="AS156" s="66"/>
      <c r="AX156" s="34" t="str">
        <f t="shared" si="19"/>
        <v xml:space="preserve">1999, 2006, 2007, 2008, 2009, 2010, 2015, 2018, </v>
      </c>
      <c r="AY156" s="80" t="s">
        <v>366</v>
      </c>
      <c r="AZ156" s="76"/>
      <c r="BA156" s="76"/>
      <c r="BB156" s="76"/>
    </row>
    <row r="157" spans="1:54" ht="18" customHeight="1" x14ac:dyDescent="0.2">
      <c r="A157" s="24">
        <f t="shared" si="18"/>
        <v>154</v>
      </c>
      <c r="B157" s="67" t="s">
        <v>367</v>
      </c>
      <c r="C157" s="67" t="s">
        <v>368</v>
      </c>
      <c r="D157" s="25" t="s">
        <v>53</v>
      </c>
      <c r="E157" s="25">
        <v>0</v>
      </c>
      <c r="F157" s="62">
        <v>0</v>
      </c>
      <c r="G157" s="62">
        <v>0</v>
      </c>
      <c r="H157" s="62">
        <v>0</v>
      </c>
      <c r="I157" s="62">
        <v>0</v>
      </c>
      <c r="J157" s="62">
        <v>0</v>
      </c>
      <c r="K157" s="62">
        <v>0</v>
      </c>
      <c r="L157" s="62">
        <v>0</v>
      </c>
      <c r="M157" s="62">
        <v>0</v>
      </c>
      <c r="N157" s="62">
        <v>0</v>
      </c>
      <c r="O157" s="62">
        <v>0</v>
      </c>
      <c r="P157" s="62">
        <v>0</v>
      </c>
      <c r="Q157" s="62">
        <v>0</v>
      </c>
      <c r="R157" s="62">
        <v>0</v>
      </c>
      <c r="S157" s="62">
        <v>0</v>
      </c>
      <c r="T157" s="68">
        <v>1</v>
      </c>
      <c r="U157" s="62">
        <v>0</v>
      </c>
      <c r="V157" s="62">
        <v>0</v>
      </c>
      <c r="W157" s="62">
        <v>0</v>
      </c>
      <c r="X157" s="62">
        <v>0</v>
      </c>
      <c r="Y157" s="62">
        <v>0</v>
      </c>
      <c r="Z157" s="62">
        <v>0</v>
      </c>
      <c r="AA157" s="62">
        <v>0</v>
      </c>
      <c r="AB157" s="68">
        <v>1</v>
      </c>
      <c r="AC157" s="62">
        <v>0</v>
      </c>
      <c r="AD157" s="62">
        <v>0</v>
      </c>
      <c r="AE157" s="62">
        <v>0</v>
      </c>
      <c r="AF157" s="62">
        <v>0</v>
      </c>
      <c r="AG157" s="62">
        <v>0</v>
      </c>
      <c r="AH157" s="68">
        <v>1</v>
      </c>
      <c r="AI157" s="62">
        <v>0</v>
      </c>
      <c r="AJ157" s="62">
        <v>0</v>
      </c>
      <c r="AK157" s="62">
        <v>0</v>
      </c>
      <c r="AL157" s="62">
        <v>0</v>
      </c>
      <c r="AM157" s="68">
        <v>1</v>
      </c>
      <c r="AN157" s="62">
        <v>0</v>
      </c>
      <c r="AO157" s="78">
        <v>0</v>
      </c>
      <c r="AP157" s="66">
        <v>0</v>
      </c>
      <c r="AQ157" s="66">
        <v>0</v>
      </c>
      <c r="AR157" s="66"/>
      <c r="AS157" s="66"/>
      <c r="AX157" s="34" t="str">
        <f t="shared" si="19"/>
        <v xml:space="preserve">1999, 2007, 2013, 2018, </v>
      </c>
      <c r="AY157" s="80" t="s">
        <v>369</v>
      </c>
      <c r="AZ157" s="76"/>
      <c r="BA157" s="76"/>
      <c r="BB157" s="76"/>
    </row>
    <row r="158" spans="1:54" ht="18" customHeight="1" x14ac:dyDescent="0.2">
      <c r="A158" s="24">
        <f t="shared" si="18"/>
        <v>155</v>
      </c>
      <c r="B158" s="73" t="s">
        <v>370</v>
      </c>
      <c r="C158" s="73" t="s">
        <v>371</v>
      </c>
      <c r="D158" s="25" t="s">
        <v>53</v>
      </c>
      <c r="E158" s="25">
        <v>0</v>
      </c>
      <c r="F158" s="74">
        <v>0</v>
      </c>
      <c r="G158" s="74">
        <v>0</v>
      </c>
      <c r="H158" s="74">
        <v>0</v>
      </c>
      <c r="I158" s="74">
        <v>0</v>
      </c>
      <c r="J158" s="74">
        <v>0</v>
      </c>
      <c r="K158" s="74">
        <v>0</v>
      </c>
      <c r="L158" s="74">
        <v>0</v>
      </c>
      <c r="M158" s="74">
        <v>0</v>
      </c>
      <c r="N158" s="74">
        <v>0</v>
      </c>
      <c r="O158" s="74">
        <v>0</v>
      </c>
      <c r="P158" s="74">
        <v>0</v>
      </c>
      <c r="Q158" s="74">
        <v>0</v>
      </c>
      <c r="R158" s="74">
        <v>0</v>
      </c>
      <c r="S158" s="74">
        <v>0</v>
      </c>
      <c r="T158" s="74">
        <v>0</v>
      </c>
      <c r="U158" s="74">
        <v>0</v>
      </c>
      <c r="V158" s="74">
        <v>0</v>
      </c>
      <c r="W158" s="74">
        <v>0</v>
      </c>
      <c r="X158" s="74">
        <v>0</v>
      </c>
      <c r="Y158" s="75">
        <v>1</v>
      </c>
      <c r="Z158" s="75">
        <v>2</v>
      </c>
      <c r="AA158" s="75">
        <v>2</v>
      </c>
      <c r="AB158" s="75">
        <v>2</v>
      </c>
      <c r="AC158" s="75">
        <v>2</v>
      </c>
      <c r="AD158" s="75">
        <v>2</v>
      </c>
      <c r="AE158" s="75">
        <v>2</v>
      </c>
      <c r="AF158" s="75">
        <v>2</v>
      </c>
      <c r="AG158" s="75">
        <v>2</v>
      </c>
      <c r="AH158" s="75">
        <v>2</v>
      </c>
      <c r="AI158" s="75">
        <v>2</v>
      </c>
      <c r="AJ158" s="75">
        <v>2</v>
      </c>
      <c r="AK158" s="75">
        <v>2</v>
      </c>
      <c r="AL158" s="75">
        <v>2</v>
      </c>
      <c r="AM158" s="75">
        <v>2</v>
      </c>
      <c r="AN158" s="75">
        <v>1</v>
      </c>
      <c r="AO158" s="78">
        <v>1</v>
      </c>
      <c r="AP158" s="66">
        <v>1</v>
      </c>
      <c r="AQ158" s="66">
        <v>1</v>
      </c>
      <c r="AR158" s="66"/>
      <c r="AS158" s="66"/>
      <c r="AX158" s="34" t="str">
        <f t="shared" si="19"/>
        <v xml:space="preserve">2004, 2005, 2006, 2007, 2008, 2009, 2010, 2011, 2012, 2013, 2014, 2015, 2016, 2017, 2018, 2019, 2020, 2021, 2022, </v>
      </c>
      <c r="AY158" s="80" t="s">
        <v>372</v>
      </c>
      <c r="AZ158" s="76"/>
      <c r="BA158" s="76"/>
      <c r="BB158" s="76"/>
    </row>
    <row r="159" spans="1:54" ht="18" customHeight="1" x14ac:dyDescent="0.2">
      <c r="A159" s="24">
        <f t="shared" si="18"/>
        <v>156</v>
      </c>
      <c r="B159" s="76" t="s">
        <v>373</v>
      </c>
      <c r="C159" s="76" t="s">
        <v>374</v>
      </c>
      <c r="D159" s="25" t="s">
        <v>53</v>
      </c>
      <c r="E159" s="25">
        <v>0</v>
      </c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7">
        <v>1</v>
      </c>
      <c r="X159" s="77">
        <v>1</v>
      </c>
      <c r="Y159" s="77">
        <v>1</v>
      </c>
      <c r="Z159" s="77">
        <v>1</v>
      </c>
      <c r="AA159" s="77">
        <v>1</v>
      </c>
      <c r="AB159" s="77">
        <v>1</v>
      </c>
      <c r="AC159" s="77">
        <v>1</v>
      </c>
      <c r="AD159" s="77">
        <v>1</v>
      </c>
      <c r="AE159" s="77">
        <v>1</v>
      </c>
      <c r="AF159" s="77">
        <v>1</v>
      </c>
      <c r="AG159" s="77">
        <v>1</v>
      </c>
      <c r="AH159" s="77">
        <v>1</v>
      </c>
      <c r="AI159" s="77">
        <v>1</v>
      </c>
      <c r="AJ159" s="77">
        <v>1</v>
      </c>
      <c r="AK159" s="77">
        <v>1</v>
      </c>
      <c r="AL159" s="77">
        <v>1</v>
      </c>
      <c r="AM159" s="77">
        <v>2</v>
      </c>
      <c r="AN159" s="76">
        <v>1</v>
      </c>
      <c r="AO159" s="78">
        <v>1</v>
      </c>
      <c r="AP159" s="66">
        <v>1</v>
      </c>
      <c r="AQ159" s="66">
        <v>0</v>
      </c>
      <c r="AR159" s="66"/>
      <c r="AS159" s="66"/>
      <c r="AT159" s="38">
        <v>1</v>
      </c>
      <c r="AX159" s="34" t="str">
        <f t="shared" si="19"/>
        <v xml:space="preserve">2002, 2003, 2004, 2005, 2006, 2007, 2008, 2009, 2010, 2011, 2012, 2013, 2014, 2015, 2016, 2017, 2018, 2019, 2020, 2021, 2025, </v>
      </c>
      <c r="AY159" s="81" t="s">
        <v>375</v>
      </c>
      <c r="AZ159" s="78" t="s">
        <v>376</v>
      </c>
      <c r="BA159" s="78" t="s">
        <v>377</v>
      </c>
      <c r="BB159" s="78"/>
    </row>
    <row r="160" spans="1:54" ht="18" customHeight="1" x14ac:dyDescent="0.2">
      <c r="A160" s="24">
        <f t="shared" si="18"/>
        <v>157</v>
      </c>
      <c r="B160" s="76" t="s">
        <v>378</v>
      </c>
      <c r="C160" s="76" t="s">
        <v>379</v>
      </c>
      <c r="D160" s="25" t="s">
        <v>53</v>
      </c>
      <c r="E160" s="25">
        <v>0</v>
      </c>
      <c r="F160" s="76">
        <v>0</v>
      </c>
      <c r="G160" s="76">
        <v>0</v>
      </c>
      <c r="H160" s="76">
        <v>0</v>
      </c>
      <c r="I160" s="76">
        <v>0</v>
      </c>
      <c r="J160" s="76">
        <v>0</v>
      </c>
      <c r="K160" s="76">
        <v>0</v>
      </c>
      <c r="L160" s="76">
        <v>0</v>
      </c>
      <c r="M160" s="76">
        <v>0</v>
      </c>
      <c r="N160" s="76">
        <v>0</v>
      </c>
      <c r="O160" s="76">
        <v>0</v>
      </c>
      <c r="P160" s="76">
        <v>0</v>
      </c>
      <c r="Q160" s="76">
        <v>0</v>
      </c>
      <c r="R160" s="76">
        <v>0</v>
      </c>
      <c r="S160" s="76">
        <v>0</v>
      </c>
      <c r="T160" s="76">
        <v>0</v>
      </c>
      <c r="U160" s="76">
        <v>0</v>
      </c>
      <c r="V160" s="76">
        <v>0</v>
      </c>
      <c r="W160" s="76">
        <v>0</v>
      </c>
      <c r="X160" s="76">
        <v>0</v>
      </c>
      <c r="Y160" s="76">
        <v>0</v>
      </c>
      <c r="Z160" s="76">
        <v>0</v>
      </c>
      <c r="AA160" s="76">
        <v>0</v>
      </c>
      <c r="AB160" s="76">
        <v>0</v>
      </c>
      <c r="AC160" s="76">
        <v>0</v>
      </c>
      <c r="AD160" s="76">
        <v>0</v>
      </c>
      <c r="AE160" s="76">
        <v>0</v>
      </c>
      <c r="AF160" s="76">
        <v>0</v>
      </c>
      <c r="AG160" s="76">
        <v>0</v>
      </c>
      <c r="AH160" s="76">
        <v>1</v>
      </c>
      <c r="AI160" s="76">
        <v>0</v>
      </c>
      <c r="AJ160" s="76">
        <v>0</v>
      </c>
      <c r="AK160" s="76">
        <v>0</v>
      </c>
      <c r="AL160" s="76">
        <v>0</v>
      </c>
      <c r="AM160" s="76">
        <v>1</v>
      </c>
      <c r="AN160" s="76">
        <v>0</v>
      </c>
      <c r="AO160" s="78">
        <v>0</v>
      </c>
      <c r="AP160" s="66">
        <v>0</v>
      </c>
      <c r="AQ160" s="66">
        <v>0</v>
      </c>
      <c r="AR160" s="66"/>
      <c r="AS160" s="66"/>
      <c r="AX160" s="34" t="str">
        <f t="shared" si="19"/>
        <v xml:space="preserve">2013, 2018, </v>
      </c>
      <c r="AY160" s="78"/>
      <c r="AZ160" s="78"/>
      <c r="BA160" s="78"/>
      <c r="BB160" s="78"/>
    </row>
    <row r="161" spans="1:56" ht="18" customHeight="1" x14ac:dyDescent="0.2">
      <c r="A161" s="24">
        <f t="shared" si="18"/>
        <v>158</v>
      </c>
      <c r="B161" s="76" t="s">
        <v>380</v>
      </c>
      <c r="C161" s="76" t="s">
        <v>381</v>
      </c>
      <c r="D161" s="25" t="s">
        <v>53</v>
      </c>
      <c r="E161" s="25">
        <v>0</v>
      </c>
      <c r="F161" s="76">
        <v>0</v>
      </c>
      <c r="G161" s="76">
        <v>0</v>
      </c>
      <c r="H161" s="76">
        <v>0</v>
      </c>
      <c r="I161" s="77">
        <v>1</v>
      </c>
      <c r="J161" s="76">
        <v>0</v>
      </c>
      <c r="K161" s="76">
        <v>0</v>
      </c>
      <c r="L161" s="76">
        <v>0</v>
      </c>
      <c r="M161" s="76">
        <v>0</v>
      </c>
      <c r="N161" s="77">
        <v>1</v>
      </c>
      <c r="O161" s="76">
        <v>0</v>
      </c>
      <c r="P161" s="76">
        <v>0</v>
      </c>
      <c r="Q161" s="76">
        <v>0</v>
      </c>
      <c r="R161" s="76">
        <v>0</v>
      </c>
      <c r="S161" s="77">
        <v>1</v>
      </c>
      <c r="T161" s="76">
        <v>0</v>
      </c>
      <c r="U161" s="76">
        <v>0</v>
      </c>
      <c r="V161" s="76">
        <v>0</v>
      </c>
      <c r="W161" s="76">
        <v>0</v>
      </c>
      <c r="X161" s="77">
        <v>1</v>
      </c>
      <c r="Y161" s="76">
        <v>0</v>
      </c>
      <c r="Z161" s="77">
        <v>1</v>
      </c>
      <c r="AA161" s="76">
        <v>0</v>
      </c>
      <c r="AB161" s="77">
        <v>1</v>
      </c>
      <c r="AC161" s="76">
        <v>0</v>
      </c>
      <c r="AD161" s="77">
        <v>1</v>
      </c>
      <c r="AE161" s="76">
        <v>0</v>
      </c>
      <c r="AF161" s="77">
        <v>1</v>
      </c>
      <c r="AG161" s="76">
        <v>0</v>
      </c>
      <c r="AH161" s="77">
        <v>1</v>
      </c>
      <c r="AI161" s="76">
        <v>0</v>
      </c>
      <c r="AJ161" s="77">
        <v>1</v>
      </c>
      <c r="AK161" s="76">
        <v>0</v>
      </c>
      <c r="AL161" s="77">
        <v>1</v>
      </c>
      <c r="AM161" s="76">
        <v>0</v>
      </c>
      <c r="AN161" s="76">
        <v>0</v>
      </c>
      <c r="AO161" s="78">
        <v>1</v>
      </c>
      <c r="AP161" s="66">
        <v>0</v>
      </c>
      <c r="AQ161" s="66">
        <v>0</v>
      </c>
      <c r="AR161" s="66"/>
      <c r="AS161" s="66"/>
      <c r="AX161" s="34" t="str">
        <f t="shared" si="19"/>
        <v xml:space="preserve">1988, 1993, 1998, 2003, 2005, 2007, 2009, 2011, 2013, 2015, 2017, 2020, </v>
      </c>
      <c r="AY161" s="81" t="s">
        <v>382</v>
      </c>
      <c r="AZ161" s="81" t="s">
        <v>383</v>
      </c>
      <c r="BA161" s="81" t="s">
        <v>384</v>
      </c>
      <c r="BB161" s="78"/>
    </row>
    <row r="162" spans="1:56" ht="18" customHeight="1" x14ac:dyDescent="0.2">
      <c r="A162" s="24">
        <f t="shared" si="18"/>
        <v>159</v>
      </c>
      <c r="B162" s="76" t="s">
        <v>385</v>
      </c>
      <c r="C162" s="76" t="s">
        <v>386</v>
      </c>
      <c r="D162" s="25" t="s">
        <v>53</v>
      </c>
      <c r="E162" s="25">
        <v>0</v>
      </c>
      <c r="F162" s="76">
        <v>0</v>
      </c>
      <c r="G162" s="76">
        <v>0</v>
      </c>
      <c r="H162" s="76">
        <v>0</v>
      </c>
      <c r="I162" s="76">
        <v>0</v>
      </c>
      <c r="J162" s="76">
        <v>0</v>
      </c>
      <c r="K162" s="76">
        <v>0</v>
      </c>
      <c r="L162" s="76">
        <v>0</v>
      </c>
      <c r="M162" s="76">
        <v>0</v>
      </c>
      <c r="N162" s="76">
        <v>0</v>
      </c>
      <c r="O162" s="76">
        <v>0</v>
      </c>
      <c r="P162" s="76">
        <v>0</v>
      </c>
      <c r="Q162" s="76">
        <v>0</v>
      </c>
      <c r="R162" s="76">
        <v>0</v>
      </c>
      <c r="S162" s="76">
        <v>0</v>
      </c>
      <c r="T162" s="76">
        <v>0</v>
      </c>
      <c r="U162" s="76">
        <v>0</v>
      </c>
      <c r="V162" s="76">
        <v>0</v>
      </c>
      <c r="W162" s="76">
        <v>0</v>
      </c>
      <c r="X162" s="77">
        <v>1</v>
      </c>
      <c r="Y162" s="77">
        <v>1</v>
      </c>
      <c r="Z162" s="77">
        <v>1</v>
      </c>
      <c r="AA162" s="77">
        <v>1</v>
      </c>
      <c r="AB162" s="77">
        <v>1</v>
      </c>
      <c r="AC162" s="77">
        <v>1</v>
      </c>
      <c r="AD162" s="77">
        <v>2</v>
      </c>
      <c r="AE162" s="77">
        <v>1</v>
      </c>
      <c r="AF162" s="77">
        <v>1</v>
      </c>
      <c r="AG162" s="77">
        <v>1</v>
      </c>
      <c r="AH162" s="77">
        <v>1</v>
      </c>
      <c r="AI162" s="77">
        <v>2</v>
      </c>
      <c r="AJ162" s="77">
        <v>1</v>
      </c>
      <c r="AK162" s="77">
        <v>1</v>
      </c>
      <c r="AL162" s="77">
        <v>1</v>
      </c>
      <c r="AM162" s="77">
        <v>1</v>
      </c>
      <c r="AN162" s="77">
        <v>1</v>
      </c>
      <c r="AO162" s="78">
        <v>1</v>
      </c>
      <c r="AP162" s="66">
        <v>1</v>
      </c>
      <c r="AQ162" s="66">
        <v>1</v>
      </c>
      <c r="AR162" s="66"/>
      <c r="AS162" s="66"/>
      <c r="AT162" s="38">
        <v>1</v>
      </c>
      <c r="AX162" s="34" t="str">
        <f t="shared" si="19"/>
        <v xml:space="preserve">2003, 2004, 2005, 2006, 2007, 2008, 2009, 2010, 2011, 2012, 2013, 2014, 2015, 2016, 2017, 2018, 2019, 2020, 2021, 2022, 2025, </v>
      </c>
      <c r="AY162" s="81" t="s">
        <v>387</v>
      </c>
      <c r="AZ162" s="86" t="s">
        <v>388</v>
      </c>
      <c r="BA162" s="78"/>
      <c r="BB162" s="78"/>
    </row>
    <row r="163" spans="1:56" ht="18" customHeight="1" x14ac:dyDescent="0.2">
      <c r="A163" s="24">
        <f t="shared" si="18"/>
        <v>160</v>
      </c>
      <c r="B163" s="76" t="s">
        <v>389</v>
      </c>
      <c r="C163" s="76" t="s">
        <v>390</v>
      </c>
      <c r="D163" s="25" t="s">
        <v>53</v>
      </c>
      <c r="E163" s="25">
        <v>0</v>
      </c>
      <c r="F163" s="76">
        <v>0</v>
      </c>
      <c r="G163" s="76">
        <v>0</v>
      </c>
      <c r="H163" s="76">
        <v>0</v>
      </c>
      <c r="I163" s="76">
        <v>0</v>
      </c>
      <c r="J163" s="76">
        <v>0</v>
      </c>
      <c r="K163" s="76">
        <v>0</v>
      </c>
      <c r="L163" s="76">
        <v>0</v>
      </c>
      <c r="M163" s="76">
        <v>0</v>
      </c>
      <c r="N163" s="76">
        <v>0</v>
      </c>
      <c r="O163" s="76">
        <v>0</v>
      </c>
      <c r="P163" s="76">
        <v>0</v>
      </c>
      <c r="Q163" s="76">
        <v>0</v>
      </c>
      <c r="R163" s="76">
        <v>0</v>
      </c>
      <c r="S163" s="76">
        <v>0</v>
      </c>
      <c r="T163" s="77">
        <v>1</v>
      </c>
      <c r="U163" s="77">
        <v>1</v>
      </c>
      <c r="V163" s="77">
        <v>1</v>
      </c>
      <c r="W163" s="77">
        <v>1</v>
      </c>
      <c r="X163" s="77">
        <v>1</v>
      </c>
      <c r="Y163" s="77">
        <v>2</v>
      </c>
      <c r="Z163" s="77">
        <v>2</v>
      </c>
      <c r="AA163" s="77">
        <v>2</v>
      </c>
      <c r="AB163" s="77">
        <v>2</v>
      </c>
      <c r="AC163" s="77">
        <v>2</v>
      </c>
      <c r="AD163" s="77">
        <v>2</v>
      </c>
      <c r="AE163" s="77">
        <v>2</v>
      </c>
      <c r="AF163" s="77">
        <v>1</v>
      </c>
      <c r="AG163" s="77">
        <v>2</v>
      </c>
      <c r="AH163" s="77">
        <v>1</v>
      </c>
      <c r="AI163" s="77">
        <v>2</v>
      </c>
      <c r="AJ163" s="77">
        <v>1</v>
      </c>
      <c r="AK163" s="77">
        <v>2</v>
      </c>
      <c r="AL163" s="77">
        <v>1</v>
      </c>
      <c r="AM163" s="77">
        <v>2</v>
      </c>
      <c r="AN163" s="77">
        <v>1</v>
      </c>
      <c r="AO163" s="78">
        <v>1</v>
      </c>
      <c r="AP163" s="66">
        <v>1</v>
      </c>
      <c r="AQ163" s="87">
        <v>1</v>
      </c>
      <c r="AR163" s="66"/>
      <c r="AS163" s="66"/>
      <c r="AT163" s="38">
        <v>1</v>
      </c>
      <c r="AX163" s="34" t="str">
        <f t="shared" si="19"/>
        <v xml:space="preserve">1999, 2000, 2001, 2002, 2003, 2004, 2005, 2006, 2007, 2008, 2009, 2010, 2011, 2012, 2013, 2014, 2015, 2016, 2017, 2018, 2019, 2020, 2021, 2022, 2025, </v>
      </c>
      <c r="AY163" s="84" t="s">
        <v>391</v>
      </c>
      <c r="AZ163" s="78" t="s">
        <v>392</v>
      </c>
      <c r="BA163" s="86" t="s">
        <v>393</v>
      </c>
      <c r="BB163" s="78" t="s">
        <v>394</v>
      </c>
      <c r="BD163" s="88" t="s">
        <v>395</v>
      </c>
    </row>
    <row r="164" spans="1:56" ht="18" customHeight="1" x14ac:dyDescent="0.2">
      <c r="A164" s="24">
        <f t="shared" si="18"/>
        <v>161</v>
      </c>
      <c r="B164" s="76" t="s">
        <v>396</v>
      </c>
      <c r="C164" s="76" t="s">
        <v>397</v>
      </c>
      <c r="D164" s="25" t="s">
        <v>53</v>
      </c>
      <c r="E164" s="25">
        <v>0</v>
      </c>
      <c r="F164" s="76">
        <v>0</v>
      </c>
      <c r="G164" s="76">
        <v>0</v>
      </c>
      <c r="H164" s="76">
        <v>0</v>
      </c>
      <c r="I164" s="76">
        <v>0</v>
      </c>
      <c r="J164" s="76">
        <v>0</v>
      </c>
      <c r="K164" s="76">
        <v>0</v>
      </c>
      <c r="L164" s="76">
        <v>0</v>
      </c>
      <c r="M164" s="76">
        <v>0</v>
      </c>
      <c r="N164" s="76">
        <v>0</v>
      </c>
      <c r="O164" s="76">
        <v>0</v>
      </c>
      <c r="P164" s="76">
        <v>0</v>
      </c>
      <c r="Q164" s="76">
        <v>0</v>
      </c>
      <c r="R164" s="76">
        <v>0</v>
      </c>
      <c r="S164" s="76">
        <v>0</v>
      </c>
      <c r="T164" s="76">
        <v>0</v>
      </c>
      <c r="U164" s="76">
        <v>0</v>
      </c>
      <c r="V164" s="76">
        <v>0</v>
      </c>
      <c r="W164" s="76">
        <v>0</v>
      </c>
      <c r="X164" s="76">
        <v>0</v>
      </c>
      <c r="Y164" s="76">
        <v>0</v>
      </c>
      <c r="Z164" s="76">
        <v>0</v>
      </c>
      <c r="AA164" s="76">
        <v>0</v>
      </c>
      <c r="AB164" s="76">
        <v>0</v>
      </c>
      <c r="AC164" s="76">
        <v>0</v>
      </c>
      <c r="AD164" s="76">
        <v>0</v>
      </c>
      <c r="AE164" s="76">
        <v>0</v>
      </c>
      <c r="AF164" s="76">
        <v>0</v>
      </c>
      <c r="AG164" s="76">
        <v>0</v>
      </c>
      <c r="AH164" s="77">
        <v>1</v>
      </c>
      <c r="AI164" s="76">
        <v>0</v>
      </c>
      <c r="AJ164" s="76">
        <v>0</v>
      </c>
      <c r="AK164" s="76">
        <v>0</v>
      </c>
      <c r="AL164" s="76">
        <v>0</v>
      </c>
      <c r="AM164" s="76">
        <v>0</v>
      </c>
      <c r="AN164" s="76">
        <v>0</v>
      </c>
      <c r="AO164" s="78">
        <v>0</v>
      </c>
      <c r="AP164" s="66">
        <v>0</v>
      </c>
      <c r="AQ164" s="66">
        <v>0</v>
      </c>
      <c r="AR164" s="66"/>
      <c r="AS164" s="66"/>
      <c r="AX164" s="34" t="str">
        <f t="shared" si="19"/>
        <v xml:space="preserve">2013, </v>
      </c>
      <c r="AY164" s="78" t="s">
        <v>398</v>
      </c>
      <c r="AZ164" s="78"/>
      <c r="BA164" s="78"/>
      <c r="BB164" s="78"/>
    </row>
    <row r="165" spans="1:56" ht="18" customHeight="1" x14ac:dyDescent="0.2">
      <c r="A165" s="24">
        <f t="shared" si="18"/>
        <v>162</v>
      </c>
      <c r="B165" s="76" t="s">
        <v>399</v>
      </c>
      <c r="C165" s="76" t="s">
        <v>400</v>
      </c>
      <c r="D165" s="25" t="s">
        <v>53</v>
      </c>
      <c r="E165" s="25">
        <v>0</v>
      </c>
      <c r="F165" s="76">
        <v>0</v>
      </c>
      <c r="G165" s="76">
        <v>0</v>
      </c>
      <c r="H165" s="76">
        <v>0</v>
      </c>
      <c r="I165" s="76">
        <v>0</v>
      </c>
      <c r="J165" s="76">
        <v>0</v>
      </c>
      <c r="K165" s="76">
        <v>0</v>
      </c>
      <c r="L165" s="76">
        <v>0</v>
      </c>
      <c r="M165" s="76">
        <v>0</v>
      </c>
      <c r="N165" s="76">
        <v>0</v>
      </c>
      <c r="O165" s="76">
        <v>0</v>
      </c>
      <c r="P165" s="76">
        <v>0</v>
      </c>
      <c r="Q165" s="76">
        <v>0</v>
      </c>
      <c r="R165" s="76">
        <v>0</v>
      </c>
      <c r="S165" s="76">
        <v>0</v>
      </c>
      <c r="T165" s="76">
        <v>0</v>
      </c>
      <c r="U165" s="76">
        <v>0</v>
      </c>
      <c r="V165" s="76">
        <v>0</v>
      </c>
      <c r="W165" s="76">
        <v>0</v>
      </c>
      <c r="X165" s="76">
        <v>0</v>
      </c>
      <c r="Y165" s="76">
        <v>0</v>
      </c>
      <c r="Z165" s="77">
        <v>1</v>
      </c>
      <c r="AA165" s="76">
        <v>0</v>
      </c>
      <c r="AB165" s="76">
        <v>0</v>
      </c>
      <c r="AC165" s="76">
        <v>0</v>
      </c>
      <c r="AD165" s="76">
        <v>0</v>
      </c>
      <c r="AE165" s="77">
        <v>1</v>
      </c>
      <c r="AF165" s="76">
        <v>0</v>
      </c>
      <c r="AG165" s="76">
        <v>0</v>
      </c>
      <c r="AH165" s="76">
        <v>0</v>
      </c>
      <c r="AI165" s="76">
        <v>0</v>
      </c>
      <c r="AJ165" s="77">
        <v>1</v>
      </c>
      <c r="AK165" s="76">
        <v>0</v>
      </c>
      <c r="AL165" s="76">
        <v>0</v>
      </c>
      <c r="AM165" s="76">
        <v>0</v>
      </c>
      <c r="AN165" s="76">
        <v>0</v>
      </c>
      <c r="AO165" s="78">
        <v>0</v>
      </c>
      <c r="AP165" s="66">
        <v>0</v>
      </c>
      <c r="AQ165" s="66">
        <v>0</v>
      </c>
      <c r="AR165" s="66"/>
      <c r="AS165" s="66"/>
      <c r="AX165" s="34" t="str">
        <f t="shared" si="19"/>
        <v xml:space="preserve">2005, 2010, 2015, </v>
      </c>
      <c r="AY165" s="81" t="s">
        <v>401</v>
      </c>
      <c r="AZ165" s="86" t="s">
        <v>402</v>
      </c>
      <c r="BA165" s="78"/>
      <c r="BB165" s="78"/>
    </row>
    <row r="166" spans="1:56" ht="18" customHeight="1" x14ac:dyDescent="0.2">
      <c r="A166" s="24">
        <f t="shared" si="18"/>
        <v>163</v>
      </c>
      <c r="B166" s="76" t="s">
        <v>403</v>
      </c>
      <c r="C166" s="76" t="s">
        <v>404</v>
      </c>
      <c r="D166" s="25" t="s">
        <v>53</v>
      </c>
      <c r="E166" s="25">
        <v>0</v>
      </c>
      <c r="F166" s="77">
        <v>1</v>
      </c>
      <c r="G166" s="77">
        <v>1</v>
      </c>
      <c r="H166" s="77">
        <v>1</v>
      </c>
      <c r="I166" s="77">
        <v>1</v>
      </c>
      <c r="J166" s="77">
        <v>1</v>
      </c>
      <c r="K166" s="77">
        <v>1</v>
      </c>
      <c r="L166" s="77">
        <v>1</v>
      </c>
      <c r="M166" s="77">
        <v>1</v>
      </c>
      <c r="N166" s="77">
        <v>1</v>
      </c>
      <c r="O166" s="77">
        <v>1</v>
      </c>
      <c r="P166" s="77">
        <v>1</v>
      </c>
      <c r="Q166" s="77">
        <v>2</v>
      </c>
      <c r="R166" s="77">
        <v>2</v>
      </c>
      <c r="S166" s="77">
        <v>2</v>
      </c>
      <c r="T166" s="77">
        <v>2</v>
      </c>
      <c r="U166" s="77">
        <v>2</v>
      </c>
      <c r="V166" s="77">
        <v>2</v>
      </c>
      <c r="W166" s="77">
        <v>2</v>
      </c>
      <c r="X166" s="77">
        <v>2</v>
      </c>
      <c r="Y166" s="77">
        <v>2</v>
      </c>
      <c r="Z166" s="77">
        <v>2</v>
      </c>
      <c r="AA166" s="77">
        <v>2</v>
      </c>
      <c r="AB166" s="77">
        <v>2</v>
      </c>
      <c r="AC166" s="77">
        <v>2</v>
      </c>
      <c r="AD166" s="77">
        <v>2</v>
      </c>
      <c r="AE166" s="77">
        <v>2</v>
      </c>
      <c r="AF166" s="77">
        <v>2</v>
      </c>
      <c r="AG166" s="77">
        <v>2</v>
      </c>
      <c r="AH166" s="77">
        <v>2</v>
      </c>
      <c r="AI166" s="77">
        <v>2</v>
      </c>
      <c r="AJ166" s="77">
        <v>2</v>
      </c>
      <c r="AK166" s="77">
        <v>2</v>
      </c>
      <c r="AL166" s="77">
        <v>2</v>
      </c>
      <c r="AM166" s="77">
        <v>2</v>
      </c>
      <c r="AN166" s="77">
        <v>1</v>
      </c>
      <c r="AO166" s="76">
        <v>1</v>
      </c>
      <c r="AP166" s="66">
        <v>1</v>
      </c>
      <c r="AQ166" s="66">
        <v>0</v>
      </c>
      <c r="AR166" s="66">
        <v>1</v>
      </c>
      <c r="AS166" s="66"/>
      <c r="AX166" s="34" t="str">
        <f t="shared" si="19"/>
        <v xml:space="preserve">1985, 1986, 1987, 1988, 1989, 1990, 1991, 1992, 1993, 1994, 1995, 1996, 1997, 1998, 1999, 2000, 2001, 2002, 2003, 2004, 2005, 2006, 2007, 2008, 2009, 2010, 2011, 2012, 2013, 2014, 2015, 2016, 2017, 2018, 2019, 2020, 2021, 2023, </v>
      </c>
      <c r="AY166" s="84" t="s">
        <v>405</v>
      </c>
      <c r="AZ166" s="84" t="s">
        <v>406</v>
      </c>
      <c r="BA166" s="84" t="s">
        <v>407</v>
      </c>
      <c r="BB166" s="78" t="s">
        <v>408</v>
      </c>
    </row>
    <row r="167" spans="1:56" ht="18" customHeight="1" x14ac:dyDescent="0.2">
      <c r="A167" s="24">
        <f t="shared" si="18"/>
        <v>164</v>
      </c>
      <c r="B167" s="76" t="s">
        <v>409</v>
      </c>
      <c r="C167" s="76" t="s">
        <v>410</v>
      </c>
      <c r="D167" s="25" t="s">
        <v>53</v>
      </c>
      <c r="E167" s="25">
        <v>0</v>
      </c>
      <c r="F167" s="76">
        <v>0</v>
      </c>
      <c r="G167" s="76">
        <v>0</v>
      </c>
      <c r="H167" s="76">
        <v>0</v>
      </c>
      <c r="I167" s="76">
        <v>0</v>
      </c>
      <c r="J167" s="76">
        <v>0</v>
      </c>
      <c r="K167" s="76">
        <v>0</v>
      </c>
      <c r="L167" s="76">
        <v>0</v>
      </c>
      <c r="M167" s="76">
        <v>0</v>
      </c>
      <c r="N167" s="76">
        <v>0</v>
      </c>
      <c r="O167" s="76">
        <v>0</v>
      </c>
      <c r="P167" s="76">
        <v>0</v>
      </c>
      <c r="Q167" s="76">
        <v>0</v>
      </c>
      <c r="R167" s="76">
        <v>0</v>
      </c>
      <c r="S167" s="76">
        <v>0</v>
      </c>
      <c r="T167" s="76">
        <v>0</v>
      </c>
      <c r="U167" s="77">
        <v>1</v>
      </c>
      <c r="V167" s="77">
        <v>1</v>
      </c>
      <c r="W167" s="77">
        <v>1</v>
      </c>
      <c r="X167" s="77">
        <v>1</v>
      </c>
      <c r="Y167" s="77">
        <v>1</v>
      </c>
      <c r="Z167" s="77">
        <v>1</v>
      </c>
      <c r="AA167" s="77">
        <v>1</v>
      </c>
      <c r="AB167" s="77">
        <v>2</v>
      </c>
      <c r="AC167" s="77">
        <v>2</v>
      </c>
      <c r="AD167" s="77">
        <v>2</v>
      </c>
      <c r="AE167" s="77">
        <v>2</v>
      </c>
      <c r="AF167" s="77">
        <v>2</v>
      </c>
      <c r="AG167" s="77">
        <v>2</v>
      </c>
      <c r="AH167" s="77">
        <v>2</v>
      </c>
      <c r="AI167" s="77">
        <v>2</v>
      </c>
      <c r="AJ167" s="77">
        <v>2</v>
      </c>
      <c r="AK167" s="77">
        <v>2</v>
      </c>
      <c r="AL167" s="77">
        <v>2</v>
      </c>
      <c r="AM167" s="77">
        <v>1</v>
      </c>
      <c r="AN167" s="76">
        <v>1</v>
      </c>
      <c r="AO167" s="78">
        <v>1</v>
      </c>
      <c r="AP167" s="66">
        <v>1</v>
      </c>
      <c r="AQ167" s="66">
        <v>1</v>
      </c>
      <c r="AR167" s="66"/>
      <c r="AS167" s="66">
        <v>1</v>
      </c>
      <c r="AX167" s="34" t="str">
        <f t="shared" si="19"/>
        <v xml:space="preserve">2000, 2001, 2002, 2003, 2004, 2005, 2006, 2007, 2008, 2009, 2010, 2011, 2012, 2013, 2014, 2015, 2016, 2017, 2018, 2019, 2020, 2021, 2022, 2024, </v>
      </c>
      <c r="AY167" s="84" t="s">
        <v>411</v>
      </c>
      <c r="AZ167" s="78"/>
      <c r="BA167" s="78"/>
      <c r="BB167" s="78"/>
    </row>
    <row r="168" spans="1:56" ht="18" customHeight="1" x14ac:dyDescent="0.2">
      <c r="A168" s="24">
        <f t="shared" si="18"/>
        <v>165</v>
      </c>
      <c r="B168" s="76" t="s">
        <v>412</v>
      </c>
      <c r="C168" s="76" t="s">
        <v>413</v>
      </c>
      <c r="D168" s="25" t="s">
        <v>53</v>
      </c>
      <c r="E168" s="25">
        <v>0</v>
      </c>
      <c r="F168" s="76">
        <v>0</v>
      </c>
      <c r="G168" s="76">
        <v>0</v>
      </c>
      <c r="H168" s="76">
        <v>0</v>
      </c>
      <c r="I168" s="76">
        <v>0</v>
      </c>
      <c r="J168" s="76">
        <v>0</v>
      </c>
      <c r="K168" s="76">
        <v>0</v>
      </c>
      <c r="L168" s="76">
        <v>0</v>
      </c>
      <c r="M168" s="76">
        <v>0</v>
      </c>
      <c r="N168" s="76">
        <v>0</v>
      </c>
      <c r="O168" s="76">
        <v>0</v>
      </c>
      <c r="P168" s="76">
        <v>0</v>
      </c>
      <c r="Q168" s="76">
        <v>0</v>
      </c>
      <c r="R168" s="76">
        <v>0</v>
      </c>
      <c r="S168" s="76">
        <v>0</v>
      </c>
      <c r="T168" s="76">
        <v>0</v>
      </c>
      <c r="U168" s="76">
        <v>0</v>
      </c>
      <c r="V168" s="76">
        <v>0</v>
      </c>
      <c r="W168" s="76">
        <v>0</v>
      </c>
      <c r="X168" s="77">
        <v>1</v>
      </c>
      <c r="Y168" s="76">
        <v>0</v>
      </c>
      <c r="Z168" s="77">
        <v>1</v>
      </c>
      <c r="AA168" s="77">
        <v>1</v>
      </c>
      <c r="AB168" s="77">
        <v>1</v>
      </c>
      <c r="AC168" s="77">
        <v>1</v>
      </c>
      <c r="AD168" s="77">
        <v>2</v>
      </c>
      <c r="AE168" s="77">
        <v>1</v>
      </c>
      <c r="AF168" s="77">
        <v>1</v>
      </c>
      <c r="AG168" s="77">
        <v>1</v>
      </c>
      <c r="AH168" s="77">
        <v>1</v>
      </c>
      <c r="AI168" s="77">
        <v>1</v>
      </c>
      <c r="AJ168" s="77">
        <v>2</v>
      </c>
      <c r="AK168" s="77">
        <v>1</v>
      </c>
      <c r="AL168" s="77">
        <v>1</v>
      </c>
      <c r="AM168" s="77">
        <v>1</v>
      </c>
      <c r="AN168" s="77">
        <v>1</v>
      </c>
      <c r="AO168" s="78">
        <v>1</v>
      </c>
      <c r="AP168" s="66">
        <v>1</v>
      </c>
      <c r="AQ168" s="66">
        <v>1</v>
      </c>
      <c r="AR168" s="66"/>
      <c r="AS168" s="66"/>
      <c r="AT168" s="38">
        <v>1</v>
      </c>
      <c r="AX168" s="34" t="str">
        <f t="shared" si="19"/>
        <v xml:space="preserve">2003, 2005, 2006, 2007, 2008, 2009, 2010, 2011, 2012, 2013, 2014, 2015, 2016, 2017, 2018, 2019, 2020, 2021, 2022, 2025, </v>
      </c>
      <c r="AY168" s="81" t="s">
        <v>414</v>
      </c>
      <c r="AZ168" s="78" t="s">
        <v>415</v>
      </c>
      <c r="BA168" s="78" t="s">
        <v>416</v>
      </c>
      <c r="BB168" s="78"/>
    </row>
    <row r="169" spans="1:56" ht="18" customHeight="1" x14ac:dyDescent="0.2">
      <c r="A169" s="24">
        <f t="shared" si="18"/>
        <v>166</v>
      </c>
      <c r="B169" s="76" t="s">
        <v>417</v>
      </c>
      <c r="C169" s="76" t="s">
        <v>418</v>
      </c>
      <c r="D169" s="25" t="s">
        <v>53</v>
      </c>
      <c r="E169" s="25">
        <v>0</v>
      </c>
      <c r="F169" s="76">
        <v>0</v>
      </c>
      <c r="G169" s="76">
        <v>0</v>
      </c>
      <c r="H169" s="76">
        <v>0</v>
      </c>
      <c r="I169" s="76">
        <v>0</v>
      </c>
      <c r="J169" s="76">
        <v>0</v>
      </c>
      <c r="K169" s="76">
        <v>0</v>
      </c>
      <c r="L169" s="76">
        <v>0</v>
      </c>
      <c r="M169" s="76">
        <v>0</v>
      </c>
      <c r="N169" s="76">
        <v>0</v>
      </c>
      <c r="O169" s="76">
        <v>0</v>
      </c>
      <c r="P169" s="76">
        <v>0</v>
      </c>
      <c r="Q169" s="76">
        <v>0</v>
      </c>
      <c r="R169" s="76">
        <v>0</v>
      </c>
      <c r="S169" s="76">
        <v>0</v>
      </c>
      <c r="T169" s="77">
        <v>1</v>
      </c>
      <c r="U169" s="77">
        <v>1</v>
      </c>
      <c r="V169" s="77">
        <v>1</v>
      </c>
      <c r="W169" s="77">
        <v>1</v>
      </c>
      <c r="X169" s="77">
        <v>2</v>
      </c>
      <c r="Y169" s="77">
        <v>1</v>
      </c>
      <c r="Z169" s="77">
        <v>2</v>
      </c>
      <c r="AA169" s="77">
        <v>2</v>
      </c>
      <c r="AB169" s="77">
        <v>2</v>
      </c>
      <c r="AC169" s="77">
        <v>2</v>
      </c>
      <c r="AD169" s="77">
        <v>2</v>
      </c>
      <c r="AE169" s="77">
        <v>2</v>
      </c>
      <c r="AF169" s="77">
        <v>2</v>
      </c>
      <c r="AG169" s="77">
        <v>2</v>
      </c>
      <c r="AH169" s="77">
        <v>2</v>
      </c>
      <c r="AI169" s="77">
        <v>2</v>
      </c>
      <c r="AJ169" s="77">
        <v>2</v>
      </c>
      <c r="AK169" s="77">
        <v>2</v>
      </c>
      <c r="AL169" s="77">
        <v>2</v>
      </c>
      <c r="AM169" s="77">
        <v>2</v>
      </c>
      <c r="AN169" s="77">
        <v>1</v>
      </c>
      <c r="AO169" s="78">
        <v>1</v>
      </c>
      <c r="AP169" s="66">
        <v>1</v>
      </c>
      <c r="AQ169" s="66">
        <v>1</v>
      </c>
      <c r="AR169" s="66"/>
      <c r="AS169" s="66">
        <v>1</v>
      </c>
      <c r="AT169" s="38">
        <v>1</v>
      </c>
      <c r="AX169" s="34" t="str">
        <f t="shared" si="19"/>
        <v xml:space="preserve">1999, 2000, 2001, 2002, 2003, 2004, 2005, 2006, 2007, 2008, 2009, 2010, 2011, 2012, 2013, 2014, 2015, 2016, 2017, 2018, 2019, 2020, 2021, 2022, 2024, 2025, </v>
      </c>
      <c r="AY169" s="84" t="s">
        <v>419</v>
      </c>
      <c r="AZ169" s="86" t="s">
        <v>420</v>
      </c>
      <c r="BA169" s="81" t="s">
        <v>421</v>
      </c>
      <c r="BB169" s="78" t="s">
        <v>360</v>
      </c>
    </row>
    <row r="170" spans="1:56" ht="18" customHeight="1" x14ac:dyDescent="0.2">
      <c r="A170" s="24">
        <f t="shared" si="18"/>
        <v>167</v>
      </c>
      <c r="B170" s="76" t="s">
        <v>422</v>
      </c>
      <c r="C170" s="76" t="s">
        <v>423</v>
      </c>
      <c r="D170" s="25" t="s">
        <v>53</v>
      </c>
      <c r="E170" s="25">
        <v>0</v>
      </c>
      <c r="F170" s="76">
        <v>0</v>
      </c>
      <c r="G170" s="76">
        <v>0</v>
      </c>
      <c r="H170" s="76">
        <v>0</v>
      </c>
      <c r="I170" s="76">
        <v>0</v>
      </c>
      <c r="J170" s="76">
        <v>0</v>
      </c>
      <c r="K170" s="76">
        <v>0</v>
      </c>
      <c r="L170" s="76">
        <v>0</v>
      </c>
      <c r="M170" s="76">
        <v>0</v>
      </c>
      <c r="N170" s="76">
        <v>0</v>
      </c>
      <c r="O170" s="77">
        <v>1</v>
      </c>
      <c r="P170" s="77">
        <v>1</v>
      </c>
      <c r="Q170" s="77">
        <v>1</v>
      </c>
      <c r="R170" s="77">
        <v>1</v>
      </c>
      <c r="S170" s="77">
        <v>1</v>
      </c>
      <c r="T170" s="77">
        <v>1</v>
      </c>
      <c r="U170" s="77">
        <v>1</v>
      </c>
      <c r="V170" s="77">
        <v>1</v>
      </c>
      <c r="W170" s="77">
        <v>1</v>
      </c>
      <c r="X170" s="77">
        <v>1</v>
      </c>
      <c r="Y170" s="77">
        <v>2</v>
      </c>
      <c r="Z170" s="77">
        <v>2</v>
      </c>
      <c r="AA170" s="77">
        <v>2</v>
      </c>
      <c r="AB170" s="77">
        <v>2</v>
      </c>
      <c r="AC170" s="77">
        <v>2</v>
      </c>
      <c r="AD170" s="77">
        <v>2</v>
      </c>
      <c r="AE170" s="77">
        <v>2</v>
      </c>
      <c r="AF170" s="77">
        <v>2</v>
      </c>
      <c r="AG170" s="77">
        <v>2</v>
      </c>
      <c r="AH170" s="77">
        <v>2</v>
      </c>
      <c r="AI170" s="77">
        <v>2</v>
      </c>
      <c r="AJ170" s="77">
        <v>2</v>
      </c>
      <c r="AK170" s="77">
        <v>2</v>
      </c>
      <c r="AL170" s="77">
        <v>2</v>
      </c>
      <c r="AM170" s="77">
        <v>2</v>
      </c>
      <c r="AN170" s="77">
        <v>2</v>
      </c>
      <c r="AO170" s="77">
        <v>1</v>
      </c>
      <c r="AP170" s="66">
        <v>1</v>
      </c>
      <c r="AQ170" s="66">
        <v>1</v>
      </c>
      <c r="AR170" s="66"/>
      <c r="AS170" s="66">
        <v>1</v>
      </c>
      <c r="AT170" s="38">
        <v>1</v>
      </c>
      <c r="AX170" s="34" t="str">
        <f t="shared" si="19"/>
        <v xml:space="preserve">1994, 1995, 1996, 1997, 1998, 1999, 2000, 2001, 2002, 2003, 2004, 2005, 2006, 2007, 2008, 2009, 2010, 2011, 2012, 2013, 2014, 2015, 2016, 2017, 2018, 2019, 2020, 2021, 2022, 2024, 2025, </v>
      </c>
      <c r="AY170" s="81" t="s">
        <v>424</v>
      </c>
      <c r="AZ170" s="81" t="s">
        <v>425</v>
      </c>
      <c r="BA170" s="81" t="s">
        <v>426</v>
      </c>
      <c r="BB170" s="78" t="s">
        <v>360</v>
      </c>
    </row>
    <row r="171" spans="1:56" ht="18" customHeight="1" x14ac:dyDescent="0.2">
      <c r="A171" s="24">
        <f t="shared" si="18"/>
        <v>168</v>
      </c>
      <c r="B171" s="76" t="s">
        <v>427</v>
      </c>
      <c r="C171" s="76" t="s">
        <v>428</v>
      </c>
      <c r="D171" s="25" t="s">
        <v>53</v>
      </c>
      <c r="E171" s="25">
        <v>0</v>
      </c>
      <c r="F171" s="77">
        <v>1</v>
      </c>
      <c r="G171" s="77">
        <v>1</v>
      </c>
      <c r="H171" s="77">
        <v>1</v>
      </c>
      <c r="I171" s="77">
        <v>1</v>
      </c>
      <c r="J171" s="77">
        <v>1</v>
      </c>
      <c r="K171" s="77">
        <v>1</v>
      </c>
      <c r="L171" s="77">
        <v>1</v>
      </c>
      <c r="M171" s="77">
        <v>1</v>
      </c>
      <c r="N171" s="77">
        <v>1</v>
      </c>
      <c r="O171" s="77">
        <v>1</v>
      </c>
      <c r="P171" s="77">
        <v>1</v>
      </c>
      <c r="Q171" s="77">
        <v>1</v>
      </c>
      <c r="R171" s="77">
        <v>1</v>
      </c>
      <c r="S171" s="77">
        <v>1</v>
      </c>
      <c r="T171" s="77">
        <v>1</v>
      </c>
      <c r="U171" s="77">
        <v>1</v>
      </c>
      <c r="V171" s="77">
        <v>1</v>
      </c>
      <c r="W171" s="77">
        <v>1</v>
      </c>
      <c r="X171" s="77">
        <v>1</v>
      </c>
      <c r="Y171" s="77">
        <v>2</v>
      </c>
      <c r="Z171" s="77">
        <v>2</v>
      </c>
      <c r="AA171" s="77">
        <v>2</v>
      </c>
      <c r="AB171" s="77">
        <v>2</v>
      </c>
      <c r="AC171" s="77">
        <v>2</v>
      </c>
      <c r="AD171" s="77">
        <v>2</v>
      </c>
      <c r="AE171" s="77">
        <v>2</v>
      </c>
      <c r="AF171" s="77">
        <v>2</v>
      </c>
      <c r="AG171" s="77">
        <v>2</v>
      </c>
      <c r="AH171" s="77">
        <v>2</v>
      </c>
      <c r="AI171" s="77">
        <v>2</v>
      </c>
      <c r="AJ171" s="77">
        <v>2</v>
      </c>
      <c r="AK171" s="77">
        <v>2</v>
      </c>
      <c r="AL171" s="77">
        <v>2</v>
      </c>
      <c r="AM171" s="77">
        <v>2</v>
      </c>
      <c r="AN171" s="77">
        <v>2</v>
      </c>
      <c r="AO171" s="78">
        <v>1</v>
      </c>
      <c r="AP171" s="66">
        <v>1</v>
      </c>
      <c r="AQ171" s="66">
        <v>1</v>
      </c>
      <c r="AR171" s="66"/>
      <c r="AS171" s="66">
        <v>1</v>
      </c>
      <c r="AT171" s="38">
        <v>1</v>
      </c>
      <c r="AX171" s="34" t="str">
        <f t="shared" si="19"/>
        <v xml:space="preserve">1985, 1986, 1987, 1988, 1989, 1990, 1991, 1992, 1993, 1994, 1995, 1996, 1997, 1998, 1999, 2000, 2001, 2002, 2003, 2004, 2005, 2006, 2007, 2008, 2009, 2010, 2011, 2012, 2013, 2014, 2015, 2016, 2017, 2018, 2019, 2020, 2021, 2022, 2024, 2025, </v>
      </c>
      <c r="AY171" s="81" t="s">
        <v>429</v>
      </c>
      <c r="AZ171" s="78" t="s">
        <v>430</v>
      </c>
      <c r="BA171" s="78" t="s">
        <v>431</v>
      </c>
      <c r="BB171" s="78" t="s">
        <v>432</v>
      </c>
    </row>
    <row r="172" spans="1:56" ht="18" customHeight="1" x14ac:dyDescent="0.2">
      <c r="A172" s="24">
        <f t="shared" si="18"/>
        <v>169</v>
      </c>
      <c r="B172" s="76" t="s">
        <v>433</v>
      </c>
      <c r="C172" s="76" t="s">
        <v>434</v>
      </c>
      <c r="D172" s="25" t="s">
        <v>53</v>
      </c>
      <c r="E172" s="25">
        <v>0</v>
      </c>
      <c r="F172" s="76">
        <v>0</v>
      </c>
      <c r="G172" s="76">
        <v>0</v>
      </c>
      <c r="H172" s="76">
        <v>0</v>
      </c>
      <c r="I172" s="76">
        <v>0</v>
      </c>
      <c r="J172" s="76">
        <v>0</v>
      </c>
      <c r="K172" s="76">
        <v>0</v>
      </c>
      <c r="L172" s="76">
        <v>0</v>
      </c>
      <c r="M172" s="76">
        <v>0</v>
      </c>
      <c r="N172" s="76">
        <v>0</v>
      </c>
      <c r="O172" s="76">
        <v>0</v>
      </c>
      <c r="P172" s="76">
        <v>0</v>
      </c>
      <c r="Q172" s="77">
        <v>1</v>
      </c>
      <c r="R172" s="77">
        <v>1</v>
      </c>
      <c r="S172" s="77">
        <v>1</v>
      </c>
      <c r="T172" s="77">
        <v>1</v>
      </c>
      <c r="U172" s="77">
        <v>1</v>
      </c>
      <c r="V172" s="77">
        <v>1</v>
      </c>
      <c r="W172" s="77">
        <v>1</v>
      </c>
      <c r="X172" s="77">
        <v>1</v>
      </c>
      <c r="Y172" s="77">
        <v>2</v>
      </c>
      <c r="Z172" s="77">
        <v>2</v>
      </c>
      <c r="AA172" s="77">
        <v>2</v>
      </c>
      <c r="AB172" s="77">
        <v>2</v>
      </c>
      <c r="AC172" s="77">
        <v>1</v>
      </c>
      <c r="AD172" s="77">
        <v>1</v>
      </c>
      <c r="AE172" s="77">
        <v>2</v>
      </c>
      <c r="AF172" s="77">
        <v>2</v>
      </c>
      <c r="AG172" s="77">
        <v>2</v>
      </c>
      <c r="AH172" s="77">
        <v>1</v>
      </c>
      <c r="AI172" s="77">
        <v>1</v>
      </c>
      <c r="AJ172" s="77">
        <v>2</v>
      </c>
      <c r="AK172" s="77">
        <v>2</v>
      </c>
      <c r="AL172" s="77">
        <v>1</v>
      </c>
      <c r="AM172" s="77">
        <v>1</v>
      </c>
      <c r="AN172" s="77">
        <v>2</v>
      </c>
      <c r="AO172" s="78">
        <v>1</v>
      </c>
      <c r="AP172" s="66">
        <v>1</v>
      </c>
      <c r="AQ172" s="66">
        <v>1</v>
      </c>
      <c r="AR172" s="66"/>
      <c r="AS172" s="66"/>
      <c r="AT172" s="38">
        <v>1</v>
      </c>
      <c r="AX172" s="34" t="str">
        <f t="shared" si="19"/>
        <v xml:space="preserve">1996, 1997, 1998, 1999, 2000, 2001, 2002, 2003, 2004, 2005, 2006, 2007, 2008, 2009, 2010, 2011, 2012, 2013, 2014, 2015, 2016, 2017, 2018, 2019, 2020, 2021, 2022, 2025, </v>
      </c>
      <c r="AY172" s="84" t="s">
        <v>435</v>
      </c>
      <c r="AZ172" s="78" t="s">
        <v>436</v>
      </c>
      <c r="BA172" s="81" t="s">
        <v>437</v>
      </c>
      <c r="BB172" s="78" t="s">
        <v>360</v>
      </c>
    </row>
    <row r="173" spans="1:56" x14ac:dyDescent="0.2">
      <c r="A173" s="24">
        <f t="shared" si="18"/>
        <v>170</v>
      </c>
      <c r="B173" s="76" t="s">
        <v>438</v>
      </c>
      <c r="C173" s="76" t="s">
        <v>439</v>
      </c>
      <c r="D173" s="25" t="s">
        <v>53</v>
      </c>
      <c r="E173" s="25">
        <v>0</v>
      </c>
      <c r="F173" s="77">
        <v>2</v>
      </c>
      <c r="G173" s="77">
        <v>1</v>
      </c>
      <c r="H173" s="77">
        <v>1</v>
      </c>
      <c r="I173" s="77">
        <v>1</v>
      </c>
      <c r="J173" s="77">
        <v>1</v>
      </c>
      <c r="K173" s="77">
        <v>2</v>
      </c>
      <c r="L173" s="77">
        <v>1</v>
      </c>
      <c r="M173" s="77">
        <v>1</v>
      </c>
      <c r="N173" s="77">
        <v>1</v>
      </c>
      <c r="O173" s="77">
        <v>1</v>
      </c>
      <c r="P173" s="77">
        <v>2</v>
      </c>
      <c r="Q173" s="77">
        <v>1</v>
      </c>
      <c r="R173" s="77">
        <v>1</v>
      </c>
      <c r="S173" s="77">
        <v>2</v>
      </c>
      <c r="T173" s="77">
        <v>1</v>
      </c>
      <c r="U173" s="77">
        <v>1</v>
      </c>
      <c r="V173" s="77">
        <v>2</v>
      </c>
      <c r="W173" s="77">
        <v>1</v>
      </c>
      <c r="X173" s="77">
        <v>1</v>
      </c>
      <c r="Y173" s="77">
        <v>1</v>
      </c>
      <c r="Z173" s="77">
        <v>1</v>
      </c>
      <c r="AA173" s="77">
        <v>2</v>
      </c>
      <c r="AB173" s="77">
        <v>1</v>
      </c>
      <c r="AC173" s="77">
        <v>1</v>
      </c>
      <c r="AD173" s="77">
        <v>1</v>
      </c>
      <c r="AE173" s="77">
        <v>1</v>
      </c>
      <c r="AF173" s="77">
        <v>1</v>
      </c>
      <c r="AG173" s="77">
        <v>2</v>
      </c>
      <c r="AH173" s="77">
        <v>1</v>
      </c>
      <c r="AI173" s="77">
        <v>1</v>
      </c>
      <c r="AJ173" s="77">
        <v>1</v>
      </c>
      <c r="AK173" s="77">
        <v>2</v>
      </c>
      <c r="AL173" s="77">
        <v>1</v>
      </c>
      <c r="AM173" s="77">
        <v>1</v>
      </c>
      <c r="AN173" s="77">
        <v>1</v>
      </c>
      <c r="AO173" s="78">
        <v>1</v>
      </c>
      <c r="AP173" s="66">
        <v>1</v>
      </c>
      <c r="AQ173" s="66">
        <v>1</v>
      </c>
      <c r="AR173" s="66"/>
      <c r="AS173" s="66"/>
      <c r="AT173" s="38">
        <v>1</v>
      </c>
      <c r="AX173" s="34" t="str">
        <f t="shared" si="19"/>
        <v xml:space="preserve">1985, 1986, 1987, 1988, 1989, 1990, 1991, 1992, 1993, 1994, 1995, 1996, 1997, 1998, 1999, 2000, 2001, 2002, 2003, 2004, 2005, 2006, 2007, 2008, 2009, 2010, 2011, 2012, 2013, 2014, 2015, 2016, 2017, 2018, 2019, 2020, 2021, 2022, 2025, </v>
      </c>
      <c r="AY173" s="81" t="s">
        <v>440</v>
      </c>
      <c r="AZ173" s="81" t="s">
        <v>441</v>
      </c>
      <c r="BA173" s="78" t="s">
        <v>442</v>
      </c>
      <c r="BB173" s="78" t="s">
        <v>443</v>
      </c>
    </row>
    <row r="174" spans="1:56" ht="15.75" customHeight="1" x14ac:dyDescent="0.2">
      <c r="A174" s="24">
        <f t="shared" si="18"/>
        <v>171</v>
      </c>
      <c r="B174" s="76" t="s">
        <v>444</v>
      </c>
      <c r="C174" s="76" t="s">
        <v>445</v>
      </c>
      <c r="D174" s="25" t="s">
        <v>53</v>
      </c>
      <c r="E174" s="25">
        <v>0</v>
      </c>
      <c r="F174" s="76">
        <v>0</v>
      </c>
      <c r="G174" s="76">
        <v>0</v>
      </c>
      <c r="H174" s="76">
        <v>0</v>
      </c>
      <c r="I174" s="76">
        <v>0</v>
      </c>
      <c r="J174" s="76">
        <v>0</v>
      </c>
      <c r="K174" s="76">
        <v>0</v>
      </c>
      <c r="L174" s="76">
        <v>0</v>
      </c>
      <c r="M174" s="76">
        <v>0</v>
      </c>
      <c r="N174" s="76">
        <v>0</v>
      </c>
      <c r="O174" s="76">
        <v>0</v>
      </c>
      <c r="P174" s="76">
        <v>0</v>
      </c>
      <c r="Q174" s="76">
        <v>0</v>
      </c>
      <c r="R174" s="76">
        <v>0</v>
      </c>
      <c r="S174" s="76">
        <v>0</v>
      </c>
      <c r="T174" s="76">
        <v>0</v>
      </c>
      <c r="U174" s="76">
        <v>0</v>
      </c>
      <c r="V174" s="77">
        <v>2</v>
      </c>
      <c r="W174" s="77">
        <v>1</v>
      </c>
      <c r="X174" s="77">
        <v>1</v>
      </c>
      <c r="Y174" s="77">
        <v>1</v>
      </c>
      <c r="Z174" s="77">
        <v>1</v>
      </c>
      <c r="AA174" s="77">
        <v>2</v>
      </c>
      <c r="AB174" s="77">
        <v>1</v>
      </c>
      <c r="AC174" s="77">
        <v>1</v>
      </c>
      <c r="AD174" s="77">
        <v>1</v>
      </c>
      <c r="AE174" s="77">
        <v>1</v>
      </c>
      <c r="AF174" s="77">
        <v>2</v>
      </c>
      <c r="AG174" s="77">
        <v>1</v>
      </c>
      <c r="AH174" s="77">
        <v>1</v>
      </c>
      <c r="AI174" s="77">
        <v>1</v>
      </c>
      <c r="AJ174" s="77">
        <v>1</v>
      </c>
      <c r="AK174" s="77">
        <v>1</v>
      </c>
      <c r="AL174" s="77">
        <v>2</v>
      </c>
      <c r="AM174" s="77">
        <v>1</v>
      </c>
      <c r="AN174" s="77">
        <v>1</v>
      </c>
      <c r="AO174" s="78">
        <v>1</v>
      </c>
      <c r="AP174" s="66">
        <v>1</v>
      </c>
      <c r="AQ174" s="66">
        <v>1</v>
      </c>
      <c r="AR174" s="66"/>
      <c r="AS174" s="66">
        <v>1</v>
      </c>
      <c r="AT174" s="38">
        <v>1</v>
      </c>
      <c r="AX174" s="34" t="str">
        <f t="shared" si="19"/>
        <v xml:space="preserve">2001, 2002, 2003, 2004, 2005, 2006, 2007, 2008, 2009, 2010, 2011, 2012, 2013, 2014, 2015, 2016, 2017, 2018, 2019, 2020, 2021, 2022, 2024, 2025, </v>
      </c>
      <c r="AY174" s="81" t="s">
        <v>446</v>
      </c>
      <c r="AZ174" s="78" t="s">
        <v>447</v>
      </c>
      <c r="BA174" s="78" t="s">
        <v>360</v>
      </c>
      <c r="BB174" s="78"/>
    </row>
    <row r="175" spans="1:56" ht="15.75" customHeight="1" x14ac:dyDescent="0.2">
      <c r="A175" s="24">
        <f t="shared" si="18"/>
        <v>172</v>
      </c>
      <c r="B175" s="76" t="s">
        <v>448</v>
      </c>
      <c r="C175" s="76" t="s">
        <v>449</v>
      </c>
      <c r="D175" s="25" t="s">
        <v>53</v>
      </c>
      <c r="E175" s="25">
        <v>0</v>
      </c>
      <c r="F175" s="77">
        <v>1</v>
      </c>
      <c r="G175" s="77">
        <v>1</v>
      </c>
      <c r="H175" s="77">
        <v>1</v>
      </c>
      <c r="I175" s="77">
        <v>1</v>
      </c>
      <c r="J175" s="77">
        <v>1</v>
      </c>
      <c r="K175" s="77">
        <v>1</v>
      </c>
      <c r="L175" s="77">
        <v>1</v>
      </c>
      <c r="M175" s="77">
        <v>1</v>
      </c>
      <c r="N175" s="77">
        <v>1</v>
      </c>
      <c r="O175" s="77">
        <v>1</v>
      </c>
      <c r="P175" s="77">
        <v>1</v>
      </c>
      <c r="Q175" s="77">
        <v>1</v>
      </c>
      <c r="R175" s="77">
        <v>1</v>
      </c>
      <c r="S175" s="77">
        <v>1</v>
      </c>
      <c r="T175" s="77">
        <v>1</v>
      </c>
      <c r="U175" s="77">
        <v>1</v>
      </c>
      <c r="V175" s="77">
        <v>1</v>
      </c>
      <c r="W175" s="77">
        <v>1</v>
      </c>
      <c r="X175" s="77">
        <v>1</v>
      </c>
      <c r="Y175" s="77">
        <v>2</v>
      </c>
      <c r="Z175" s="77">
        <v>2</v>
      </c>
      <c r="AA175" s="77">
        <v>2</v>
      </c>
      <c r="AB175" s="77">
        <v>2</v>
      </c>
      <c r="AC175" s="77">
        <v>2</v>
      </c>
      <c r="AD175" s="77">
        <v>2</v>
      </c>
      <c r="AE175" s="77">
        <v>2</v>
      </c>
      <c r="AF175" s="77">
        <v>2</v>
      </c>
      <c r="AG175" s="77">
        <v>2</v>
      </c>
      <c r="AH175" s="77">
        <v>2</v>
      </c>
      <c r="AI175" s="77">
        <v>2</v>
      </c>
      <c r="AJ175" s="77">
        <v>2</v>
      </c>
      <c r="AK175" s="77">
        <v>2</v>
      </c>
      <c r="AL175" s="77">
        <v>2</v>
      </c>
      <c r="AM175" s="77">
        <v>2</v>
      </c>
      <c r="AN175" s="77">
        <v>2</v>
      </c>
      <c r="AO175" s="78">
        <v>1</v>
      </c>
      <c r="AP175" s="66">
        <v>1</v>
      </c>
      <c r="AQ175" s="66">
        <v>1</v>
      </c>
      <c r="AR175" s="66"/>
      <c r="AS175" s="66">
        <v>1</v>
      </c>
      <c r="AT175" s="38">
        <v>1</v>
      </c>
      <c r="AX175" s="34" t="str">
        <f t="shared" si="19"/>
        <v xml:space="preserve">1985, 1986, 1987, 1988, 1989, 1990, 1991, 1992, 1993, 1994, 1995, 1996, 1997, 1998, 1999, 2000, 2001, 2002, 2003, 2004, 2005, 2006, 2007, 2008, 2009, 2010, 2011, 2012, 2013, 2014, 2015, 2016, 2017, 2018, 2019, 2020, 2021, 2022, 2024, 2025, </v>
      </c>
      <c r="AY175" s="84" t="s">
        <v>450</v>
      </c>
      <c r="AZ175" s="81" t="s">
        <v>451</v>
      </c>
      <c r="BA175" s="81" t="s">
        <v>452</v>
      </c>
      <c r="BB175" s="78" t="s">
        <v>453</v>
      </c>
    </row>
    <row r="176" spans="1:56" ht="15.75" customHeight="1" x14ac:dyDescent="0.2">
      <c r="A176" s="24">
        <f t="shared" si="18"/>
        <v>173</v>
      </c>
      <c r="B176" s="76" t="s">
        <v>454</v>
      </c>
      <c r="C176" s="76" t="s">
        <v>455</v>
      </c>
      <c r="D176" s="25" t="s">
        <v>53</v>
      </c>
      <c r="E176" s="25">
        <v>0</v>
      </c>
      <c r="F176" s="76">
        <v>0</v>
      </c>
      <c r="G176" s="76">
        <v>0</v>
      </c>
      <c r="H176" s="77">
        <v>1</v>
      </c>
      <c r="I176" s="76">
        <v>0</v>
      </c>
      <c r="J176" s="76">
        <v>0</v>
      </c>
      <c r="K176" s="76">
        <v>0</v>
      </c>
      <c r="L176" s="76">
        <v>0</v>
      </c>
      <c r="M176" s="76">
        <v>0</v>
      </c>
      <c r="N176" s="76">
        <v>0</v>
      </c>
      <c r="O176" s="77">
        <v>1</v>
      </c>
      <c r="P176" s="76">
        <v>0</v>
      </c>
      <c r="Q176" s="76">
        <v>0</v>
      </c>
      <c r="R176" s="76">
        <v>0</v>
      </c>
      <c r="S176" s="76">
        <v>0</v>
      </c>
      <c r="T176" s="77">
        <v>1</v>
      </c>
      <c r="U176" s="76">
        <v>0</v>
      </c>
      <c r="V176" s="76">
        <v>0</v>
      </c>
      <c r="W176" s="76">
        <v>0</v>
      </c>
      <c r="X176" s="76">
        <v>0</v>
      </c>
      <c r="Y176" s="77">
        <v>2</v>
      </c>
      <c r="Z176" s="77">
        <v>1</v>
      </c>
      <c r="AA176" s="77">
        <v>1</v>
      </c>
      <c r="AB176" s="77">
        <v>1</v>
      </c>
      <c r="AC176" s="77">
        <v>1</v>
      </c>
      <c r="AD176" s="77">
        <v>2</v>
      </c>
      <c r="AE176" s="77">
        <v>1</v>
      </c>
      <c r="AF176" s="77">
        <v>1</v>
      </c>
      <c r="AG176" s="77">
        <v>1</v>
      </c>
      <c r="AH176" s="77">
        <v>2</v>
      </c>
      <c r="AI176" s="77">
        <v>1</v>
      </c>
      <c r="AJ176" s="77">
        <v>2</v>
      </c>
      <c r="AK176" s="77">
        <v>1</v>
      </c>
      <c r="AL176" s="77">
        <v>1</v>
      </c>
      <c r="AM176" s="77">
        <v>2</v>
      </c>
      <c r="AN176" s="77">
        <v>1</v>
      </c>
      <c r="AO176" s="78">
        <v>1</v>
      </c>
      <c r="AP176" s="66">
        <v>1</v>
      </c>
      <c r="AQ176" s="66">
        <v>1</v>
      </c>
      <c r="AR176" s="66"/>
      <c r="AS176" s="66"/>
      <c r="AT176" s="38">
        <v>1</v>
      </c>
      <c r="AX176" s="34" t="str">
        <f t="shared" si="19"/>
        <v xml:space="preserve">1987, 1994, 1999, 2004, 2005, 2006, 2007, 2008, 2009, 2010, 2011, 2012, 2013, 2014, 2015, 2016, 2017, 2018, 2019, 2020, 2021, 2022, 2025, </v>
      </c>
      <c r="AY176" s="81" t="s">
        <v>456</v>
      </c>
      <c r="AZ176" s="78" t="s">
        <v>457</v>
      </c>
      <c r="BA176" s="78"/>
      <c r="BB176" s="78"/>
    </row>
    <row r="177" spans="1:54" ht="15.75" customHeight="1" x14ac:dyDescent="0.2">
      <c r="A177" s="24">
        <f t="shared" si="18"/>
        <v>174</v>
      </c>
      <c r="B177" s="76" t="s">
        <v>458</v>
      </c>
      <c r="C177" s="76" t="s">
        <v>459</v>
      </c>
      <c r="D177" s="25" t="s">
        <v>53</v>
      </c>
      <c r="E177" s="25">
        <v>0</v>
      </c>
      <c r="F177" s="76">
        <v>0</v>
      </c>
      <c r="G177" s="76">
        <v>0</v>
      </c>
      <c r="H177" s="76">
        <v>0</v>
      </c>
      <c r="I177" s="76">
        <v>0</v>
      </c>
      <c r="J177" s="76">
        <v>0</v>
      </c>
      <c r="K177" s="76">
        <v>0</v>
      </c>
      <c r="L177" s="76">
        <v>0</v>
      </c>
      <c r="M177" s="76">
        <v>0</v>
      </c>
      <c r="N177" s="76">
        <v>0</v>
      </c>
      <c r="O177" s="76">
        <v>0</v>
      </c>
      <c r="P177" s="76">
        <v>0</v>
      </c>
      <c r="Q177" s="76">
        <v>0</v>
      </c>
      <c r="R177" s="76">
        <v>0</v>
      </c>
      <c r="S177" s="76">
        <v>0</v>
      </c>
      <c r="T177" s="76">
        <v>0</v>
      </c>
      <c r="U177" s="77">
        <v>1</v>
      </c>
      <c r="V177" s="77">
        <v>1</v>
      </c>
      <c r="W177" s="77">
        <v>1</v>
      </c>
      <c r="X177" s="77">
        <v>1</v>
      </c>
      <c r="Y177" s="77">
        <v>2</v>
      </c>
      <c r="Z177" s="77">
        <v>2</v>
      </c>
      <c r="AA177" s="77">
        <v>2</v>
      </c>
      <c r="AB177" s="77">
        <v>2</v>
      </c>
      <c r="AC177" s="77">
        <v>2</v>
      </c>
      <c r="AD177" s="77">
        <v>2</v>
      </c>
      <c r="AE177" s="77">
        <v>2</v>
      </c>
      <c r="AF177" s="77">
        <v>2</v>
      </c>
      <c r="AG177" s="77">
        <v>2</v>
      </c>
      <c r="AH177" s="77">
        <v>2</v>
      </c>
      <c r="AI177" s="77">
        <v>1</v>
      </c>
      <c r="AJ177" s="77">
        <v>1</v>
      </c>
      <c r="AK177" s="77">
        <v>1</v>
      </c>
      <c r="AL177" s="76">
        <v>1</v>
      </c>
      <c r="AM177" s="76">
        <v>1</v>
      </c>
      <c r="AN177" s="76">
        <v>1</v>
      </c>
      <c r="AO177" s="78"/>
      <c r="AP177" s="66"/>
      <c r="AQ177" s="66"/>
      <c r="AR177" s="66"/>
      <c r="AS177" s="66"/>
      <c r="AX177" s="34" t="str">
        <f t="shared" si="19"/>
        <v xml:space="preserve">2000, 2001, 2002, 2003, 2004, 2005, 2006, 2007, 2008, 2009, 2010, 2011, 2012, 2013, 2014, 2015, 2016, 2017, 2018, 2019, </v>
      </c>
      <c r="AY177" s="81" t="s">
        <v>460</v>
      </c>
      <c r="AZ177" s="81" t="s">
        <v>461</v>
      </c>
      <c r="BA177" s="78"/>
      <c r="BB177" s="78"/>
    </row>
    <row r="178" spans="1:54" ht="15.75" customHeight="1" x14ac:dyDescent="0.2">
      <c r="A178" s="24">
        <f t="shared" si="18"/>
        <v>175</v>
      </c>
      <c r="B178" s="76" t="s">
        <v>462</v>
      </c>
      <c r="C178" s="76" t="s">
        <v>463</v>
      </c>
      <c r="D178" s="25" t="s">
        <v>53</v>
      </c>
      <c r="E178" s="25">
        <v>0</v>
      </c>
      <c r="F178" s="77">
        <v>1</v>
      </c>
      <c r="G178" s="77">
        <v>1</v>
      </c>
      <c r="H178" s="77">
        <v>1</v>
      </c>
      <c r="I178" s="77">
        <v>1</v>
      </c>
      <c r="J178" s="77">
        <v>1</v>
      </c>
      <c r="K178" s="77">
        <v>1</v>
      </c>
      <c r="L178" s="77">
        <v>1</v>
      </c>
      <c r="M178" s="77">
        <v>1</v>
      </c>
      <c r="N178" s="77">
        <v>1</v>
      </c>
      <c r="O178" s="77">
        <v>1</v>
      </c>
      <c r="P178" s="77">
        <v>1</v>
      </c>
      <c r="Q178" s="77">
        <v>1</v>
      </c>
      <c r="R178" s="77">
        <v>1</v>
      </c>
      <c r="S178" s="77">
        <v>1</v>
      </c>
      <c r="T178" s="77">
        <v>1</v>
      </c>
      <c r="U178" s="77">
        <v>1</v>
      </c>
      <c r="V178" s="77">
        <v>1</v>
      </c>
      <c r="W178" s="77">
        <v>1</v>
      </c>
      <c r="X178" s="77">
        <v>1</v>
      </c>
      <c r="Y178" s="77">
        <v>1</v>
      </c>
      <c r="Z178" s="77">
        <v>1</v>
      </c>
      <c r="AA178" s="77">
        <v>1</v>
      </c>
      <c r="AB178" s="77">
        <v>1</v>
      </c>
      <c r="AC178" s="77">
        <v>1</v>
      </c>
      <c r="AD178" s="77">
        <v>1</v>
      </c>
      <c r="AE178" s="77">
        <v>1</v>
      </c>
      <c r="AF178" s="77">
        <v>1</v>
      </c>
      <c r="AG178" s="77">
        <v>2</v>
      </c>
      <c r="AH178" s="77">
        <v>2</v>
      </c>
      <c r="AI178" s="77">
        <v>2</v>
      </c>
      <c r="AJ178" s="77">
        <v>2</v>
      </c>
      <c r="AK178" s="77">
        <v>2</v>
      </c>
      <c r="AL178" s="77">
        <v>2</v>
      </c>
      <c r="AM178" s="77">
        <v>1</v>
      </c>
      <c r="AN178" s="77">
        <v>1</v>
      </c>
      <c r="AO178" s="78">
        <v>1</v>
      </c>
      <c r="AP178" s="66">
        <v>1</v>
      </c>
      <c r="AQ178" s="66">
        <v>1</v>
      </c>
      <c r="AR178" s="66"/>
      <c r="AS178" s="66"/>
      <c r="AX178" s="34" t="str">
        <f t="shared" si="19"/>
        <v xml:space="preserve">1985, 1986, 1987, 1988, 1989, 1990, 1991, 1992, 1993, 1994, 1995, 1996, 1997, 1998, 1999, 2000, 2001, 2002, 2003, 2004, 2005, 2006, 2007, 2008, 2009, 2010, 2011, 2012, 2013, 2014, 2015, 2016, 2017, 2018, 2019, 2020, 2021, 2022, </v>
      </c>
      <c r="AY178" s="81" t="s">
        <v>464</v>
      </c>
      <c r="AZ178" s="81" t="s">
        <v>465</v>
      </c>
      <c r="BA178" s="86" t="s">
        <v>466</v>
      </c>
      <c r="BB178" s="78"/>
    </row>
    <row r="179" spans="1:54" ht="15.75" customHeight="1" x14ac:dyDescent="0.2">
      <c r="A179" s="24">
        <f>1+A178</f>
        <v>176</v>
      </c>
      <c r="B179" s="76" t="s">
        <v>467</v>
      </c>
      <c r="C179" s="76" t="s">
        <v>468</v>
      </c>
      <c r="D179" s="25" t="s">
        <v>53</v>
      </c>
      <c r="E179" s="25">
        <v>0</v>
      </c>
      <c r="F179" s="76">
        <v>0</v>
      </c>
      <c r="G179" s="76">
        <v>0</v>
      </c>
      <c r="H179" s="76">
        <v>0</v>
      </c>
      <c r="I179" s="76">
        <v>0</v>
      </c>
      <c r="J179" s="76">
        <v>0</v>
      </c>
      <c r="K179" s="76">
        <v>0</v>
      </c>
      <c r="L179" s="76">
        <v>0</v>
      </c>
      <c r="M179" s="76">
        <v>0</v>
      </c>
      <c r="N179" s="76">
        <v>0</v>
      </c>
      <c r="O179" s="76">
        <v>0</v>
      </c>
      <c r="P179" s="76">
        <v>0</v>
      </c>
      <c r="Q179" s="76">
        <v>0</v>
      </c>
      <c r="R179" s="77">
        <v>1</v>
      </c>
      <c r="S179" s="77">
        <v>1</v>
      </c>
      <c r="T179" s="77">
        <v>1</v>
      </c>
      <c r="U179" s="77">
        <v>1</v>
      </c>
      <c r="V179" s="77">
        <v>1</v>
      </c>
      <c r="W179" s="77">
        <v>1</v>
      </c>
      <c r="X179" s="77">
        <v>1</v>
      </c>
      <c r="Y179" s="77">
        <v>2</v>
      </c>
      <c r="Z179" s="77">
        <v>2</v>
      </c>
      <c r="AA179" s="77">
        <v>2</v>
      </c>
      <c r="AB179" s="77">
        <v>2</v>
      </c>
      <c r="AC179" s="77">
        <v>2</v>
      </c>
      <c r="AD179" s="77">
        <v>2</v>
      </c>
      <c r="AE179" s="77">
        <v>2</v>
      </c>
      <c r="AF179" s="77">
        <v>2</v>
      </c>
      <c r="AG179" s="77">
        <v>2</v>
      </c>
      <c r="AH179" s="77">
        <v>2</v>
      </c>
      <c r="AI179" s="77">
        <v>2</v>
      </c>
      <c r="AJ179" s="77">
        <v>2</v>
      </c>
      <c r="AK179" s="77">
        <v>2</v>
      </c>
      <c r="AL179" s="77">
        <v>2</v>
      </c>
      <c r="AM179" s="77">
        <v>2</v>
      </c>
      <c r="AN179" s="77">
        <v>1</v>
      </c>
      <c r="AO179" s="78">
        <v>1</v>
      </c>
      <c r="AP179" s="66">
        <v>1</v>
      </c>
      <c r="AQ179" s="66">
        <v>1</v>
      </c>
      <c r="AR179" s="66"/>
      <c r="AS179" s="66">
        <v>1</v>
      </c>
      <c r="AT179" s="38">
        <v>1</v>
      </c>
      <c r="AX179" s="34" t="str">
        <f t="shared" si="19"/>
        <v xml:space="preserve">1997, 1998, 1999, 2000, 2001, 2002, 2003, 2004, 2005, 2006, 2007, 2008, 2009, 2010, 2011, 2012, 2013, 2014, 2015, 2016, 2017, 2018, 2019, 2020, 2021, 2022, 2024, 2025, </v>
      </c>
      <c r="AY179" s="84" t="s">
        <v>469</v>
      </c>
      <c r="AZ179" s="81" t="s">
        <v>470</v>
      </c>
      <c r="BA179" s="78" t="s">
        <v>471</v>
      </c>
      <c r="BB179" s="86" t="s">
        <v>472</v>
      </c>
    </row>
    <row r="180" spans="1:54" ht="15.75" customHeight="1" x14ac:dyDescent="0.2">
      <c r="A180" s="24">
        <f t="shared" si="18"/>
        <v>177</v>
      </c>
      <c r="B180" s="76" t="s">
        <v>473</v>
      </c>
      <c r="C180" s="76" t="s">
        <v>474</v>
      </c>
      <c r="D180" s="25" t="s">
        <v>53</v>
      </c>
      <c r="E180" s="25">
        <v>0</v>
      </c>
      <c r="F180" s="76">
        <v>0</v>
      </c>
      <c r="G180" s="76">
        <v>0</v>
      </c>
      <c r="H180" s="76">
        <v>0</v>
      </c>
      <c r="I180" s="76">
        <v>0</v>
      </c>
      <c r="J180" s="76">
        <v>0</v>
      </c>
      <c r="K180" s="76">
        <v>0</v>
      </c>
      <c r="L180" s="76">
        <v>0</v>
      </c>
      <c r="M180" s="76">
        <v>0</v>
      </c>
      <c r="N180" s="76">
        <v>0</v>
      </c>
      <c r="O180" s="76">
        <v>0</v>
      </c>
      <c r="P180" s="77">
        <v>1</v>
      </c>
      <c r="Q180" s="76">
        <v>0</v>
      </c>
      <c r="R180" s="76">
        <v>0</v>
      </c>
      <c r="S180" s="76">
        <v>0</v>
      </c>
      <c r="T180" s="77">
        <v>1</v>
      </c>
      <c r="U180" s="76">
        <v>0</v>
      </c>
      <c r="V180" s="76">
        <v>0</v>
      </c>
      <c r="W180" s="76">
        <v>0</v>
      </c>
      <c r="X180" s="77">
        <v>1</v>
      </c>
      <c r="Y180" s="77">
        <v>1</v>
      </c>
      <c r="Z180" s="77">
        <v>1</v>
      </c>
      <c r="AA180" s="77">
        <v>1</v>
      </c>
      <c r="AB180" s="77">
        <v>1</v>
      </c>
      <c r="AC180" s="77">
        <v>1</v>
      </c>
      <c r="AD180" s="77">
        <v>1</v>
      </c>
      <c r="AE180" s="77">
        <v>1</v>
      </c>
      <c r="AF180" s="77">
        <v>1</v>
      </c>
      <c r="AG180" s="77">
        <v>1</v>
      </c>
      <c r="AH180" s="77">
        <v>1</v>
      </c>
      <c r="AI180" s="77">
        <v>1</v>
      </c>
      <c r="AJ180" s="77">
        <v>1</v>
      </c>
      <c r="AK180" s="77">
        <v>1</v>
      </c>
      <c r="AL180" s="77">
        <v>1</v>
      </c>
      <c r="AM180" s="77">
        <v>1</v>
      </c>
      <c r="AN180" s="77">
        <v>1</v>
      </c>
      <c r="AO180" s="78">
        <v>1</v>
      </c>
      <c r="AP180" s="66">
        <v>1</v>
      </c>
      <c r="AQ180" s="66">
        <v>1</v>
      </c>
      <c r="AR180" s="66">
        <v>1</v>
      </c>
      <c r="AS180" s="66">
        <v>1</v>
      </c>
      <c r="AT180" s="38">
        <v>1</v>
      </c>
      <c r="AX180" s="34" t="str">
        <f t="shared" si="19"/>
        <v xml:space="preserve">1995, 1999, 2003, 2004, 2005, 2006, 2007, 2008, 2009, 2010, 2011, 2012, 2013, 2014, 2015, 2016, 2017, 2018, 2019, 2020, 2021, 2022, 2023, 2024, 2025, </v>
      </c>
      <c r="AY180" s="89" t="s">
        <v>475</v>
      </c>
      <c r="AZ180" s="81" t="s">
        <v>476</v>
      </c>
      <c r="BA180" s="78" t="s">
        <v>477</v>
      </c>
      <c r="BB180" s="78" t="s">
        <v>478</v>
      </c>
    </row>
    <row r="181" spans="1:54" ht="15.75" customHeight="1" x14ac:dyDescent="0.2">
      <c r="A181" s="24">
        <f t="shared" si="18"/>
        <v>178</v>
      </c>
      <c r="B181" s="76" t="s">
        <v>479</v>
      </c>
      <c r="C181" s="76" t="s">
        <v>480</v>
      </c>
      <c r="D181" s="25" t="s">
        <v>53</v>
      </c>
      <c r="E181" s="25">
        <v>0</v>
      </c>
      <c r="F181" s="76">
        <v>0</v>
      </c>
      <c r="G181" s="76">
        <v>0</v>
      </c>
      <c r="H181" s="76">
        <v>0</v>
      </c>
      <c r="I181" s="76">
        <v>0</v>
      </c>
      <c r="J181" s="76">
        <v>0</v>
      </c>
      <c r="K181" s="76">
        <v>0</v>
      </c>
      <c r="L181" s="76">
        <v>0</v>
      </c>
      <c r="M181" s="76">
        <v>0</v>
      </c>
      <c r="N181" s="76">
        <v>0</v>
      </c>
      <c r="O181" s="76">
        <v>0</v>
      </c>
      <c r="P181" s="76">
        <v>0</v>
      </c>
      <c r="Q181" s="76">
        <v>0</v>
      </c>
      <c r="R181" s="76">
        <v>0</v>
      </c>
      <c r="S181" s="76">
        <v>0</v>
      </c>
      <c r="T181" s="76">
        <v>0</v>
      </c>
      <c r="U181" s="76">
        <v>0</v>
      </c>
      <c r="V181" s="76">
        <v>0</v>
      </c>
      <c r="W181" s="76">
        <v>0</v>
      </c>
      <c r="X181" s="77">
        <v>1</v>
      </c>
      <c r="Y181" s="77">
        <v>1</v>
      </c>
      <c r="Z181" s="77">
        <v>1</v>
      </c>
      <c r="AA181" s="77">
        <v>1</v>
      </c>
      <c r="AB181" s="77">
        <v>1</v>
      </c>
      <c r="AC181" s="77">
        <v>1</v>
      </c>
      <c r="AD181" s="77">
        <v>1</v>
      </c>
      <c r="AE181" s="77">
        <v>2</v>
      </c>
      <c r="AF181" s="77">
        <v>2</v>
      </c>
      <c r="AG181" s="77">
        <v>2</v>
      </c>
      <c r="AH181" s="77">
        <v>2</v>
      </c>
      <c r="AI181" s="77">
        <v>2</v>
      </c>
      <c r="AJ181" s="77">
        <v>2</v>
      </c>
      <c r="AK181" s="77">
        <v>2</v>
      </c>
      <c r="AL181" s="77">
        <v>2</v>
      </c>
      <c r="AM181" s="77">
        <v>2</v>
      </c>
      <c r="AN181" s="77">
        <v>2</v>
      </c>
      <c r="AO181" s="77">
        <v>2</v>
      </c>
      <c r="AP181" s="66">
        <v>1</v>
      </c>
      <c r="AQ181" s="66">
        <v>1</v>
      </c>
      <c r="AR181" s="66">
        <v>1</v>
      </c>
      <c r="AS181" s="66">
        <v>1</v>
      </c>
      <c r="AT181" s="38">
        <v>1</v>
      </c>
      <c r="AX181" s="34" t="str">
        <f t="shared" si="19"/>
        <v xml:space="preserve">2003, 2004, 2005, 2006, 2007, 2008, 2009, 2010, 2011, 2012, 2013, 2014, 2015, 2016, 2017, 2018, 2019, 2020, 2021, 2022, 2023, 2024, 2025, </v>
      </c>
      <c r="AY181" s="81" t="s">
        <v>481</v>
      </c>
      <c r="AZ181" s="81" t="s">
        <v>482</v>
      </c>
      <c r="BA181" s="81" t="s">
        <v>483</v>
      </c>
      <c r="BB181" s="78"/>
    </row>
    <row r="182" spans="1:54" ht="15.75" customHeight="1" x14ac:dyDescent="0.2">
      <c r="A182" s="24">
        <f t="shared" si="18"/>
        <v>179</v>
      </c>
      <c r="B182" s="76" t="s">
        <v>484</v>
      </c>
      <c r="C182" s="76" t="s">
        <v>485</v>
      </c>
      <c r="D182" s="25" t="s">
        <v>53</v>
      </c>
      <c r="E182" s="25">
        <v>0</v>
      </c>
      <c r="F182" s="76">
        <v>0</v>
      </c>
      <c r="G182" s="76">
        <v>0</v>
      </c>
      <c r="H182" s="76">
        <v>0</v>
      </c>
      <c r="I182" s="76">
        <v>0</v>
      </c>
      <c r="J182" s="76">
        <v>0</v>
      </c>
      <c r="K182" s="76">
        <v>0</v>
      </c>
      <c r="L182" s="76">
        <v>0</v>
      </c>
      <c r="M182" s="76">
        <v>0</v>
      </c>
      <c r="N182" s="76">
        <v>0</v>
      </c>
      <c r="O182" s="76">
        <v>0</v>
      </c>
      <c r="P182" s="76">
        <v>0</v>
      </c>
      <c r="Q182" s="76">
        <v>0</v>
      </c>
      <c r="R182" s="76">
        <v>0</v>
      </c>
      <c r="S182" s="76">
        <v>0</v>
      </c>
      <c r="T182" s="77">
        <v>1</v>
      </c>
      <c r="U182" s="76">
        <v>0</v>
      </c>
      <c r="V182" s="76">
        <v>0</v>
      </c>
      <c r="W182" s="76">
        <v>0</v>
      </c>
      <c r="X182" s="76">
        <v>0</v>
      </c>
      <c r="Y182" s="76">
        <v>0</v>
      </c>
      <c r="Z182" s="76">
        <v>0</v>
      </c>
      <c r="AA182" s="76">
        <v>0</v>
      </c>
      <c r="AB182" s="77">
        <v>1</v>
      </c>
      <c r="AC182" s="76">
        <v>0</v>
      </c>
      <c r="AD182" s="76">
        <v>0</v>
      </c>
      <c r="AE182" s="76">
        <v>0</v>
      </c>
      <c r="AF182" s="76">
        <v>0</v>
      </c>
      <c r="AG182" s="76">
        <v>0</v>
      </c>
      <c r="AH182" s="77">
        <v>1</v>
      </c>
      <c r="AI182" s="76">
        <v>0</v>
      </c>
      <c r="AJ182" s="76">
        <v>0</v>
      </c>
      <c r="AK182" s="76">
        <v>0</v>
      </c>
      <c r="AL182" s="76">
        <v>0</v>
      </c>
      <c r="AM182" s="76">
        <v>0</v>
      </c>
      <c r="AN182" s="76">
        <v>0</v>
      </c>
      <c r="AO182" s="78">
        <v>0</v>
      </c>
      <c r="AP182" s="66">
        <v>1</v>
      </c>
      <c r="AQ182" s="66">
        <v>0</v>
      </c>
      <c r="AR182" s="66"/>
      <c r="AS182" s="66"/>
      <c r="AX182" s="34" t="str">
        <f t="shared" si="19"/>
        <v xml:space="preserve">1999, 2007, 2013, 2021, </v>
      </c>
      <c r="AY182" s="81" t="s">
        <v>486</v>
      </c>
      <c r="AZ182" s="78"/>
      <c r="BA182" s="78"/>
      <c r="BB182" s="78"/>
    </row>
    <row r="183" spans="1:54" ht="15.75" customHeight="1" x14ac:dyDescent="0.2">
      <c r="A183" s="24">
        <f t="shared" si="18"/>
        <v>180</v>
      </c>
      <c r="B183" s="76" t="s">
        <v>487</v>
      </c>
      <c r="C183" s="76" t="s">
        <v>488</v>
      </c>
      <c r="D183" s="25" t="s">
        <v>53</v>
      </c>
      <c r="E183" s="25">
        <v>0</v>
      </c>
      <c r="F183" s="77">
        <v>1</v>
      </c>
      <c r="G183" s="77">
        <v>1</v>
      </c>
      <c r="H183" s="77">
        <v>1</v>
      </c>
      <c r="I183" s="77">
        <v>1</v>
      </c>
      <c r="J183" s="77">
        <v>1</v>
      </c>
      <c r="K183" s="77">
        <v>1</v>
      </c>
      <c r="L183" s="77">
        <v>1</v>
      </c>
      <c r="M183" s="77">
        <v>1</v>
      </c>
      <c r="N183" s="77">
        <v>1</v>
      </c>
      <c r="O183" s="77">
        <v>1</v>
      </c>
      <c r="P183" s="77">
        <v>1</v>
      </c>
      <c r="Q183" s="77">
        <v>1</v>
      </c>
      <c r="R183" s="77">
        <v>1</v>
      </c>
      <c r="S183" s="77">
        <v>1</v>
      </c>
      <c r="T183" s="77">
        <v>1</v>
      </c>
      <c r="U183" s="77">
        <v>1</v>
      </c>
      <c r="V183" s="77">
        <v>1</v>
      </c>
      <c r="W183" s="77">
        <v>1</v>
      </c>
      <c r="X183" s="77">
        <v>1</v>
      </c>
      <c r="Y183" s="77">
        <v>2</v>
      </c>
      <c r="Z183" s="77">
        <v>2</v>
      </c>
      <c r="AA183" s="77">
        <v>2</v>
      </c>
      <c r="AB183" s="77">
        <v>2</v>
      </c>
      <c r="AC183" s="77">
        <v>2</v>
      </c>
      <c r="AD183" s="77">
        <v>2</v>
      </c>
      <c r="AE183" s="77">
        <v>2</v>
      </c>
      <c r="AF183" s="77">
        <v>2</v>
      </c>
      <c r="AG183" s="77">
        <v>2</v>
      </c>
      <c r="AH183" s="77">
        <v>2</v>
      </c>
      <c r="AI183" s="77">
        <v>2</v>
      </c>
      <c r="AJ183" s="77">
        <v>2</v>
      </c>
      <c r="AK183" s="77">
        <v>2</v>
      </c>
      <c r="AL183" s="77">
        <v>2</v>
      </c>
      <c r="AM183" s="77">
        <v>2</v>
      </c>
      <c r="AN183" s="77">
        <v>1</v>
      </c>
      <c r="AO183" s="78">
        <v>1</v>
      </c>
      <c r="AP183" s="66">
        <v>1</v>
      </c>
      <c r="AQ183" s="66">
        <v>1</v>
      </c>
      <c r="AR183" s="66"/>
      <c r="AS183" s="66">
        <v>1</v>
      </c>
      <c r="AT183" s="38">
        <v>1</v>
      </c>
      <c r="AX183" s="34" t="str">
        <f t="shared" si="19"/>
        <v xml:space="preserve">1985, 1986, 1987, 1988, 1989, 1990, 1991, 1992, 1993, 1994, 1995, 1996, 1997, 1998, 1999, 2000, 2001, 2002, 2003, 2004, 2005, 2006, 2007, 2008, 2009, 2010, 2011, 2012, 2013, 2014, 2015, 2016, 2017, 2018, 2019, 2020, 2021, 2022, 2024, 2025, </v>
      </c>
      <c r="AY183" s="84" t="s">
        <v>489</v>
      </c>
      <c r="AZ183" s="86" t="s">
        <v>490</v>
      </c>
      <c r="BA183" s="78"/>
      <c r="BB183" s="78"/>
    </row>
    <row r="184" spans="1:54" ht="15.75" customHeight="1" x14ac:dyDescent="0.2">
      <c r="A184" s="24">
        <f t="shared" si="18"/>
        <v>181</v>
      </c>
      <c r="B184" s="76" t="s">
        <v>491</v>
      </c>
      <c r="C184" s="76" t="s">
        <v>492</v>
      </c>
      <c r="D184" s="25" t="s">
        <v>53</v>
      </c>
      <c r="E184" s="25">
        <v>0</v>
      </c>
      <c r="F184" s="76">
        <v>0</v>
      </c>
      <c r="G184" s="76">
        <v>0</v>
      </c>
      <c r="H184" s="76">
        <v>0</v>
      </c>
      <c r="I184" s="76">
        <v>0</v>
      </c>
      <c r="J184" s="76">
        <v>0</v>
      </c>
      <c r="K184" s="76">
        <v>0</v>
      </c>
      <c r="L184" s="76">
        <v>0</v>
      </c>
      <c r="M184" s="76">
        <v>0</v>
      </c>
      <c r="N184" s="76">
        <v>0</v>
      </c>
      <c r="O184" s="76">
        <v>0</v>
      </c>
      <c r="P184" s="76">
        <v>0</v>
      </c>
      <c r="Q184" s="76">
        <v>0</v>
      </c>
      <c r="R184" s="76">
        <v>0</v>
      </c>
      <c r="S184" s="76">
        <v>0</v>
      </c>
      <c r="T184" s="76">
        <v>0</v>
      </c>
      <c r="U184" s="77">
        <v>1</v>
      </c>
      <c r="V184" s="76">
        <v>0</v>
      </c>
      <c r="W184" s="76">
        <v>0</v>
      </c>
      <c r="X184" s="76">
        <v>0</v>
      </c>
      <c r="Y184" s="76">
        <v>0</v>
      </c>
      <c r="Z184" s="77">
        <v>1</v>
      </c>
      <c r="AA184" s="77">
        <v>1</v>
      </c>
      <c r="AB184" s="77">
        <v>1</v>
      </c>
      <c r="AC184" s="77">
        <v>2</v>
      </c>
      <c r="AD184" s="77">
        <v>1</v>
      </c>
      <c r="AE184" s="77">
        <v>1</v>
      </c>
      <c r="AF184" s="77">
        <v>1</v>
      </c>
      <c r="AG184" s="77">
        <v>1</v>
      </c>
      <c r="AH184" s="77">
        <v>1</v>
      </c>
      <c r="AI184" s="77">
        <v>1</v>
      </c>
      <c r="AJ184" s="77">
        <v>2</v>
      </c>
      <c r="AK184" s="77">
        <v>1</v>
      </c>
      <c r="AL184" s="77">
        <v>1</v>
      </c>
      <c r="AM184" s="77">
        <v>1</v>
      </c>
      <c r="AN184" s="77">
        <v>1</v>
      </c>
      <c r="AO184" s="78">
        <v>1</v>
      </c>
      <c r="AP184" s="66">
        <v>1</v>
      </c>
      <c r="AQ184" s="66">
        <v>1</v>
      </c>
      <c r="AR184" s="66"/>
      <c r="AS184" s="66"/>
      <c r="AT184" s="38">
        <v>1</v>
      </c>
      <c r="AX184" s="34" t="str">
        <f t="shared" si="19"/>
        <v xml:space="preserve">2000, 2005, 2006, 2007, 2008, 2009, 2010, 2011, 2012, 2013, 2014, 2015, 2016, 2017, 2018, 2019, 2020, 2021, 2022, 2025, </v>
      </c>
      <c r="AY184" s="89" t="s">
        <v>493</v>
      </c>
      <c r="AZ184" s="81" t="s">
        <v>494</v>
      </c>
      <c r="BA184" s="78" t="s">
        <v>495</v>
      </c>
      <c r="BB184" s="86" t="s">
        <v>496</v>
      </c>
    </row>
    <row r="185" spans="1:54" ht="15.75" customHeight="1" x14ac:dyDescent="0.2">
      <c r="A185" s="24">
        <f t="shared" si="18"/>
        <v>182</v>
      </c>
      <c r="B185" s="76" t="s">
        <v>497</v>
      </c>
      <c r="C185" s="76" t="s">
        <v>498</v>
      </c>
      <c r="D185" s="25" t="s">
        <v>53</v>
      </c>
      <c r="E185" s="25">
        <v>0</v>
      </c>
      <c r="F185" s="76">
        <v>0</v>
      </c>
      <c r="G185" s="76">
        <v>0</v>
      </c>
      <c r="H185" s="76">
        <v>0</v>
      </c>
      <c r="I185" s="77">
        <v>1</v>
      </c>
      <c r="J185" s="76">
        <v>0</v>
      </c>
      <c r="K185" s="76">
        <v>0</v>
      </c>
      <c r="L185" s="76">
        <v>0</v>
      </c>
      <c r="M185" s="76">
        <v>0</v>
      </c>
      <c r="N185" s="76">
        <v>0</v>
      </c>
      <c r="O185" s="77">
        <v>1</v>
      </c>
      <c r="P185" s="76">
        <v>0</v>
      </c>
      <c r="Q185" s="76">
        <v>0</v>
      </c>
      <c r="R185" s="76">
        <v>0</v>
      </c>
      <c r="S185" s="76">
        <v>0</v>
      </c>
      <c r="T185" s="77">
        <v>1</v>
      </c>
      <c r="U185" s="76">
        <v>0</v>
      </c>
      <c r="V185" s="76">
        <v>0</v>
      </c>
      <c r="W185" s="76">
        <v>0</v>
      </c>
      <c r="X185" s="76">
        <v>0</v>
      </c>
      <c r="Y185" s="76">
        <v>0</v>
      </c>
      <c r="Z185" s="77">
        <v>2</v>
      </c>
      <c r="AA185" s="77">
        <v>1</v>
      </c>
      <c r="AB185" s="77">
        <v>1</v>
      </c>
      <c r="AC185" s="77">
        <v>1</v>
      </c>
      <c r="AD185" s="77">
        <v>1</v>
      </c>
      <c r="AE185" s="77">
        <v>2</v>
      </c>
      <c r="AF185" s="77">
        <v>1</v>
      </c>
      <c r="AG185" s="77">
        <v>1</v>
      </c>
      <c r="AH185" s="77">
        <v>1</v>
      </c>
      <c r="AI185" s="77">
        <v>1</v>
      </c>
      <c r="AJ185" s="77">
        <v>2</v>
      </c>
      <c r="AK185" s="77">
        <v>1</v>
      </c>
      <c r="AL185" s="77">
        <v>1</v>
      </c>
      <c r="AM185" s="77">
        <v>1</v>
      </c>
      <c r="AN185" s="77">
        <v>1</v>
      </c>
      <c r="AO185" s="78">
        <v>1</v>
      </c>
      <c r="AP185" s="66">
        <v>1</v>
      </c>
      <c r="AQ185" s="66">
        <v>1</v>
      </c>
      <c r="AR185" s="66"/>
      <c r="AS185" s="66">
        <v>1</v>
      </c>
      <c r="AT185" s="38">
        <v>1</v>
      </c>
      <c r="AX185" s="34" t="str">
        <f t="shared" si="19"/>
        <v xml:space="preserve">1988, 1994, 1999, 2005, 2006, 2007, 2008, 2009, 2010, 2011, 2012, 2013, 2014, 2015, 2016, 2017, 2018, 2019, 2020, 2021, 2022, 2024, 2025, </v>
      </c>
      <c r="AY185" s="84" t="s">
        <v>499</v>
      </c>
      <c r="AZ185" s="86" t="s">
        <v>500</v>
      </c>
      <c r="BA185" s="78"/>
      <c r="BB185" s="78"/>
    </row>
    <row r="186" spans="1:54" ht="15.75" customHeight="1" x14ac:dyDescent="0.2">
      <c r="A186" s="24">
        <f t="shared" si="18"/>
        <v>183</v>
      </c>
      <c r="B186" s="76" t="s">
        <v>501</v>
      </c>
      <c r="C186" s="76" t="s">
        <v>502</v>
      </c>
      <c r="D186" s="25" t="s">
        <v>53</v>
      </c>
      <c r="E186" s="25">
        <v>0</v>
      </c>
      <c r="F186" s="77">
        <v>1</v>
      </c>
      <c r="G186" s="77">
        <v>1</v>
      </c>
      <c r="H186" s="77">
        <v>1</v>
      </c>
      <c r="I186" s="77">
        <v>1</v>
      </c>
      <c r="J186" s="77">
        <v>1</v>
      </c>
      <c r="K186" s="77">
        <v>1</v>
      </c>
      <c r="L186" s="77">
        <v>1</v>
      </c>
      <c r="M186" s="77">
        <v>1</v>
      </c>
      <c r="N186" s="77">
        <v>1</v>
      </c>
      <c r="O186" s="77">
        <v>1</v>
      </c>
      <c r="P186" s="77">
        <v>1</v>
      </c>
      <c r="Q186" s="77">
        <v>1</v>
      </c>
      <c r="R186" s="77">
        <v>1</v>
      </c>
      <c r="S186" s="77">
        <v>1</v>
      </c>
      <c r="T186" s="77">
        <v>1</v>
      </c>
      <c r="U186" s="77">
        <v>1</v>
      </c>
      <c r="V186" s="77">
        <v>1</v>
      </c>
      <c r="W186" s="77">
        <v>1</v>
      </c>
      <c r="X186" s="77">
        <v>1</v>
      </c>
      <c r="Y186" s="77">
        <v>1</v>
      </c>
      <c r="Z186" s="77">
        <v>2</v>
      </c>
      <c r="AA186" s="77">
        <v>2</v>
      </c>
      <c r="AB186" s="77">
        <v>2</v>
      </c>
      <c r="AC186" s="77">
        <v>2</v>
      </c>
      <c r="AD186" s="77">
        <v>2</v>
      </c>
      <c r="AE186" s="77">
        <v>2</v>
      </c>
      <c r="AF186" s="77">
        <v>2</v>
      </c>
      <c r="AG186" s="77">
        <v>2</v>
      </c>
      <c r="AH186" s="77">
        <v>1</v>
      </c>
      <c r="AI186" s="77">
        <v>1</v>
      </c>
      <c r="AJ186" s="77">
        <v>1</v>
      </c>
      <c r="AK186" s="77">
        <v>1</v>
      </c>
      <c r="AL186" s="77">
        <v>1</v>
      </c>
      <c r="AM186" s="77">
        <v>1</v>
      </c>
      <c r="AN186" s="77">
        <v>1</v>
      </c>
      <c r="AO186" s="78">
        <v>1</v>
      </c>
      <c r="AP186" s="66">
        <v>1</v>
      </c>
      <c r="AQ186" s="66">
        <v>1</v>
      </c>
      <c r="AR186" s="66"/>
      <c r="AS186" s="66">
        <v>1</v>
      </c>
      <c r="AT186" s="38">
        <v>1</v>
      </c>
      <c r="AX186" s="34" t="str">
        <f t="shared" si="19"/>
        <v xml:space="preserve">1985, 1986, 1987, 1988, 1989, 1990, 1991, 1992, 1993, 1994, 1995, 1996, 1997, 1998, 1999, 2000, 2001, 2002, 2003, 2004, 2005, 2006, 2007, 2008, 2009, 2010, 2011, 2012, 2013, 2014, 2015, 2016, 2017, 2018, 2019, 2020, 2021, 2022, 2024, 2025, </v>
      </c>
      <c r="AY186" s="84" t="s">
        <v>503</v>
      </c>
      <c r="AZ186" s="81" t="s">
        <v>504</v>
      </c>
      <c r="BA186" s="81" t="s">
        <v>505</v>
      </c>
      <c r="BB186" s="78" t="s">
        <v>506</v>
      </c>
    </row>
    <row r="187" spans="1:54" ht="15.75" customHeight="1" x14ac:dyDescent="0.2">
      <c r="A187" s="24">
        <f t="shared" si="18"/>
        <v>184</v>
      </c>
      <c r="B187" s="76" t="s">
        <v>507</v>
      </c>
      <c r="C187" s="76" t="s">
        <v>508</v>
      </c>
      <c r="D187" s="25" t="s">
        <v>53</v>
      </c>
      <c r="E187" s="25">
        <v>0</v>
      </c>
      <c r="F187" s="77">
        <v>1</v>
      </c>
      <c r="G187" s="77">
        <v>1</v>
      </c>
      <c r="H187" s="77">
        <v>1</v>
      </c>
      <c r="I187" s="77">
        <v>1</v>
      </c>
      <c r="J187" s="77">
        <v>1</v>
      </c>
      <c r="K187" s="77">
        <v>1</v>
      </c>
      <c r="L187" s="77">
        <v>1</v>
      </c>
      <c r="M187" s="77">
        <v>1</v>
      </c>
      <c r="N187" s="77">
        <v>1</v>
      </c>
      <c r="O187" s="77">
        <v>1</v>
      </c>
      <c r="P187" s="77">
        <v>1</v>
      </c>
      <c r="Q187" s="77">
        <v>1</v>
      </c>
      <c r="R187" s="77">
        <v>1</v>
      </c>
      <c r="S187" s="77">
        <v>1</v>
      </c>
      <c r="T187" s="77">
        <v>1</v>
      </c>
      <c r="U187" s="77">
        <v>1</v>
      </c>
      <c r="V187" s="77">
        <v>1</v>
      </c>
      <c r="W187" s="77">
        <v>1</v>
      </c>
      <c r="X187" s="77">
        <v>1</v>
      </c>
      <c r="Y187" s="77">
        <v>1</v>
      </c>
      <c r="Z187" s="77">
        <v>1</v>
      </c>
      <c r="AA187" s="77">
        <v>1</v>
      </c>
      <c r="AB187" s="77">
        <v>1</v>
      </c>
      <c r="AC187" s="77">
        <v>1</v>
      </c>
      <c r="AD187" s="77">
        <v>1</v>
      </c>
      <c r="AE187" s="77">
        <v>1</v>
      </c>
      <c r="AF187" s="77">
        <v>1</v>
      </c>
      <c r="AG187" s="77">
        <v>1</v>
      </c>
      <c r="AH187" s="77">
        <v>1</v>
      </c>
      <c r="AI187" s="77">
        <v>1</v>
      </c>
      <c r="AJ187" s="77">
        <v>1</v>
      </c>
      <c r="AK187" s="77">
        <v>1</v>
      </c>
      <c r="AL187" s="77">
        <v>1</v>
      </c>
      <c r="AM187" s="77">
        <v>1</v>
      </c>
      <c r="AN187" s="77">
        <v>1</v>
      </c>
      <c r="AO187" s="78">
        <v>1</v>
      </c>
      <c r="AP187" s="66">
        <v>1</v>
      </c>
      <c r="AQ187" s="66">
        <v>1</v>
      </c>
      <c r="AR187" s="66"/>
      <c r="AS187" s="66"/>
      <c r="AX187" s="34" t="str">
        <f t="shared" si="19"/>
        <v xml:space="preserve">1985, 1986, 1987, 1988, 1989, 1990, 1991, 1992, 1993, 1994, 1995, 1996, 1997, 1998, 1999, 2000, 2001, 2002, 2003, 2004, 2005, 2006, 2007, 2008, 2009, 2010, 2011, 2012, 2013, 2014, 2015, 2016, 2017, 2018, 2019, 2020, 2021, 2022, </v>
      </c>
      <c r="AY187" s="81" t="s">
        <v>509</v>
      </c>
      <c r="AZ187" s="81" t="s">
        <v>510</v>
      </c>
      <c r="BA187" s="78"/>
      <c r="BB187" s="78"/>
    </row>
    <row r="188" spans="1:54" ht="15.75" customHeight="1" x14ac:dyDescent="0.2">
      <c r="A188" s="24">
        <f t="shared" si="18"/>
        <v>185</v>
      </c>
      <c r="B188" s="76" t="s">
        <v>511</v>
      </c>
      <c r="C188" s="76" t="s">
        <v>512</v>
      </c>
      <c r="D188" s="25" t="s">
        <v>53</v>
      </c>
      <c r="E188" s="25">
        <v>0</v>
      </c>
      <c r="F188" s="76">
        <v>0</v>
      </c>
      <c r="G188" s="76">
        <v>0</v>
      </c>
      <c r="H188" s="76">
        <v>0</v>
      </c>
      <c r="I188" s="76">
        <v>0</v>
      </c>
      <c r="J188" s="76">
        <v>0</v>
      </c>
      <c r="K188" s="76">
        <v>0</v>
      </c>
      <c r="L188" s="76">
        <v>0</v>
      </c>
      <c r="M188" s="76">
        <v>0</v>
      </c>
      <c r="N188" s="76">
        <v>0</v>
      </c>
      <c r="O188" s="77">
        <v>1</v>
      </c>
      <c r="P188" s="76">
        <v>0</v>
      </c>
      <c r="Q188" s="76">
        <v>0</v>
      </c>
      <c r="R188" s="76">
        <v>0</v>
      </c>
      <c r="S188" s="76">
        <v>0</v>
      </c>
      <c r="T188" s="76">
        <v>0</v>
      </c>
      <c r="U188" s="77">
        <v>1</v>
      </c>
      <c r="V188" s="76">
        <v>0</v>
      </c>
      <c r="W188" s="76">
        <v>0</v>
      </c>
      <c r="X188" s="76">
        <v>0</v>
      </c>
      <c r="Y188" s="77">
        <v>1</v>
      </c>
      <c r="Z188" s="77">
        <v>2</v>
      </c>
      <c r="AA188" s="77">
        <v>1</v>
      </c>
      <c r="AB188" s="77">
        <v>1</v>
      </c>
      <c r="AC188" s="77">
        <v>1</v>
      </c>
      <c r="AD188" s="77">
        <v>1</v>
      </c>
      <c r="AE188" s="77">
        <v>2</v>
      </c>
      <c r="AF188" s="77">
        <v>1</v>
      </c>
      <c r="AG188" s="77">
        <v>1</v>
      </c>
      <c r="AH188" s="77">
        <v>1</v>
      </c>
      <c r="AI188" s="77">
        <v>1</v>
      </c>
      <c r="AJ188" s="77">
        <v>2</v>
      </c>
      <c r="AK188" s="77">
        <v>1</v>
      </c>
      <c r="AL188" s="77">
        <v>1</v>
      </c>
      <c r="AM188" s="77">
        <v>1</v>
      </c>
      <c r="AN188" s="77">
        <v>1</v>
      </c>
      <c r="AO188" s="78">
        <v>1</v>
      </c>
      <c r="AP188" s="66">
        <v>1</v>
      </c>
      <c r="AQ188" s="66">
        <v>1</v>
      </c>
      <c r="AR188" s="66"/>
      <c r="AS188" s="66"/>
      <c r="AT188" s="38">
        <v>1</v>
      </c>
      <c r="AX188" s="34" t="str">
        <f t="shared" si="19"/>
        <v xml:space="preserve">1994, 2000, 2004, 2005, 2006, 2007, 2008, 2009, 2010, 2011, 2012, 2013, 2014, 2015, 2016, 2017, 2018, 2019, 2020, 2021, 2022, 2025, </v>
      </c>
      <c r="AY188" s="78" t="s">
        <v>513</v>
      </c>
      <c r="AZ188" s="81" t="s">
        <v>514</v>
      </c>
      <c r="BA188" s="78"/>
      <c r="BB188" s="78"/>
    </row>
    <row r="189" spans="1:54" ht="15.75" customHeight="1" x14ac:dyDescent="0.2">
      <c r="A189" s="24">
        <f t="shared" si="18"/>
        <v>186</v>
      </c>
      <c r="B189" s="76" t="s">
        <v>515</v>
      </c>
      <c r="C189" s="76" t="s">
        <v>516</v>
      </c>
      <c r="D189" s="25" t="s">
        <v>53</v>
      </c>
      <c r="E189" s="25">
        <v>0</v>
      </c>
      <c r="F189" s="76">
        <v>0</v>
      </c>
      <c r="G189" s="76">
        <v>0</v>
      </c>
      <c r="H189" s="76">
        <v>0</v>
      </c>
      <c r="I189" s="77">
        <v>1</v>
      </c>
      <c r="J189" s="76">
        <v>0</v>
      </c>
      <c r="K189" s="76">
        <v>0</v>
      </c>
      <c r="L189" s="76">
        <v>0</v>
      </c>
      <c r="M189" s="76">
        <v>0</v>
      </c>
      <c r="N189" s="76">
        <v>0</v>
      </c>
      <c r="O189" s="76">
        <v>0</v>
      </c>
      <c r="P189" s="76">
        <v>0</v>
      </c>
      <c r="Q189" s="76">
        <v>0</v>
      </c>
      <c r="R189" s="76">
        <v>0</v>
      </c>
      <c r="S189" s="76">
        <v>0</v>
      </c>
      <c r="T189" s="76">
        <v>0</v>
      </c>
      <c r="U189" s="76">
        <v>0</v>
      </c>
      <c r="V189" s="76">
        <v>0</v>
      </c>
      <c r="W189" s="76">
        <v>0</v>
      </c>
      <c r="X189" s="76">
        <v>0</v>
      </c>
      <c r="Y189" s="76">
        <v>0</v>
      </c>
      <c r="Z189" s="76">
        <v>0</v>
      </c>
      <c r="AA189" s="77">
        <v>1</v>
      </c>
      <c r="AB189" s="76">
        <v>0</v>
      </c>
      <c r="AC189" s="76">
        <v>0</v>
      </c>
      <c r="AD189" s="76">
        <v>0</v>
      </c>
      <c r="AE189" s="76">
        <v>0</v>
      </c>
      <c r="AF189" s="76">
        <v>0</v>
      </c>
      <c r="AG189" s="77">
        <v>1</v>
      </c>
      <c r="AH189" s="76">
        <v>0</v>
      </c>
      <c r="AI189" s="76">
        <v>0</v>
      </c>
      <c r="AJ189" s="76">
        <v>0</v>
      </c>
      <c r="AK189" s="76">
        <v>0</v>
      </c>
      <c r="AL189" s="76">
        <v>0</v>
      </c>
      <c r="AM189" s="76">
        <v>0</v>
      </c>
      <c r="AN189" s="76">
        <v>0</v>
      </c>
      <c r="AO189" s="78">
        <v>0</v>
      </c>
      <c r="AP189" s="66">
        <v>0</v>
      </c>
      <c r="AQ189" s="66">
        <v>0</v>
      </c>
      <c r="AR189" s="66"/>
      <c r="AS189" s="66"/>
      <c r="AX189" s="34" t="str">
        <f t="shared" si="19"/>
        <v xml:space="preserve">1988, 2006, 2012, </v>
      </c>
      <c r="AY189" s="81" t="s">
        <v>517</v>
      </c>
      <c r="AZ189" s="78"/>
      <c r="BA189" s="78"/>
      <c r="BB189" s="78"/>
    </row>
    <row r="190" spans="1:54" ht="15.75" customHeight="1" x14ac:dyDescent="0.2">
      <c r="A190" s="24">
        <f t="shared" si="18"/>
        <v>187</v>
      </c>
      <c r="B190" s="76" t="s">
        <v>518</v>
      </c>
      <c r="C190" s="76" t="s">
        <v>519</v>
      </c>
      <c r="D190" s="25" t="s">
        <v>53</v>
      </c>
      <c r="E190" s="25">
        <v>0</v>
      </c>
      <c r="F190" s="76">
        <v>0</v>
      </c>
      <c r="G190" s="76">
        <v>0</v>
      </c>
      <c r="H190" s="76">
        <v>0</v>
      </c>
      <c r="I190" s="77">
        <v>1</v>
      </c>
      <c r="J190" s="76">
        <v>0</v>
      </c>
      <c r="K190" s="76">
        <v>0</v>
      </c>
      <c r="L190" s="76">
        <v>0</v>
      </c>
      <c r="M190" s="76">
        <v>0</v>
      </c>
      <c r="N190" s="77">
        <v>1</v>
      </c>
      <c r="O190" s="76">
        <v>0</v>
      </c>
      <c r="P190" s="76">
        <v>0</v>
      </c>
      <c r="Q190" s="76">
        <v>0</v>
      </c>
      <c r="R190" s="76">
        <v>0</v>
      </c>
      <c r="S190" s="77">
        <v>1</v>
      </c>
      <c r="T190" s="76">
        <v>0</v>
      </c>
      <c r="U190" s="76">
        <v>0</v>
      </c>
      <c r="V190" s="76">
        <v>0</v>
      </c>
      <c r="W190" s="77">
        <v>1</v>
      </c>
      <c r="X190" s="76">
        <v>0</v>
      </c>
      <c r="Y190" s="76">
        <v>0</v>
      </c>
      <c r="Z190" s="76">
        <v>0</v>
      </c>
      <c r="AA190" s="76">
        <v>0</v>
      </c>
      <c r="AB190" s="77">
        <v>1</v>
      </c>
      <c r="AC190" s="76">
        <v>0</v>
      </c>
      <c r="AD190" s="76">
        <v>0</v>
      </c>
      <c r="AE190" s="76">
        <v>0</v>
      </c>
      <c r="AF190" s="76">
        <v>0</v>
      </c>
      <c r="AG190" s="77">
        <v>1</v>
      </c>
      <c r="AH190" s="76">
        <v>0</v>
      </c>
      <c r="AI190" s="76">
        <v>0</v>
      </c>
      <c r="AJ190" s="76">
        <v>0</v>
      </c>
      <c r="AK190" s="76">
        <v>0</v>
      </c>
      <c r="AL190" s="77">
        <v>1</v>
      </c>
      <c r="AM190" s="76">
        <v>1</v>
      </c>
      <c r="AN190" s="76">
        <v>1</v>
      </c>
      <c r="AO190" s="78">
        <v>1</v>
      </c>
      <c r="AP190" s="66">
        <v>1</v>
      </c>
      <c r="AQ190" s="66">
        <v>1</v>
      </c>
      <c r="AR190" s="66">
        <v>1</v>
      </c>
      <c r="AS190" s="66"/>
      <c r="AT190" s="38">
        <v>1</v>
      </c>
      <c r="AX190" s="34" t="str">
        <f t="shared" si="19"/>
        <v xml:space="preserve">1988, 1993, 1998, 2002, 2007, 2012, 2017, 2018, 2019, 2020, 2021, 2022, 2023, 2025, </v>
      </c>
      <c r="AY190" s="81" t="s">
        <v>520</v>
      </c>
      <c r="AZ190" s="78" t="s">
        <v>521</v>
      </c>
      <c r="BA190" s="81" t="s">
        <v>522</v>
      </c>
      <c r="BB190" s="78" t="s">
        <v>523</v>
      </c>
    </row>
    <row r="191" spans="1:54" x14ac:dyDescent="0.2">
      <c r="A191" s="24">
        <f t="shared" si="18"/>
        <v>188</v>
      </c>
      <c r="B191" s="76" t="s">
        <v>524</v>
      </c>
      <c r="C191" s="76" t="s">
        <v>525</v>
      </c>
      <c r="D191" s="25" t="s">
        <v>53</v>
      </c>
      <c r="E191" s="25">
        <v>0</v>
      </c>
      <c r="F191" s="77">
        <v>1</v>
      </c>
      <c r="G191" s="77">
        <v>1</v>
      </c>
      <c r="H191" s="77">
        <v>1</v>
      </c>
      <c r="I191" s="77">
        <v>1</v>
      </c>
      <c r="J191" s="77">
        <v>1</v>
      </c>
      <c r="K191" s="77">
        <v>1</v>
      </c>
      <c r="L191" s="77">
        <v>1</v>
      </c>
      <c r="M191" s="77">
        <v>1</v>
      </c>
      <c r="N191" s="77">
        <v>1</v>
      </c>
      <c r="O191" s="77">
        <v>1</v>
      </c>
      <c r="P191" s="77">
        <v>1</v>
      </c>
      <c r="Q191" s="77">
        <v>1</v>
      </c>
      <c r="R191" s="77">
        <v>1</v>
      </c>
      <c r="S191" s="77">
        <v>1</v>
      </c>
      <c r="T191" s="77">
        <v>1</v>
      </c>
      <c r="U191" s="77">
        <v>1</v>
      </c>
      <c r="V191" s="77">
        <v>1</v>
      </c>
      <c r="W191" s="77">
        <v>1</v>
      </c>
      <c r="X191" s="77">
        <v>1</v>
      </c>
      <c r="Y191" s="77">
        <v>1</v>
      </c>
      <c r="Z191" s="77">
        <v>2</v>
      </c>
      <c r="AA191" s="77">
        <v>2</v>
      </c>
      <c r="AB191" s="77">
        <v>2</v>
      </c>
      <c r="AC191" s="77">
        <v>2</v>
      </c>
      <c r="AD191" s="77">
        <v>2</v>
      </c>
      <c r="AE191" s="77">
        <v>2</v>
      </c>
      <c r="AF191" s="77">
        <v>1</v>
      </c>
      <c r="AG191" s="77">
        <v>2</v>
      </c>
      <c r="AH191" s="77">
        <v>1</v>
      </c>
      <c r="AI191" s="77">
        <v>1</v>
      </c>
      <c r="AJ191" s="77">
        <v>2</v>
      </c>
      <c r="AK191" s="77">
        <v>1</v>
      </c>
      <c r="AL191" s="77">
        <v>1</v>
      </c>
      <c r="AM191" s="77">
        <v>2</v>
      </c>
      <c r="AN191" s="77">
        <v>1</v>
      </c>
      <c r="AO191" s="78">
        <v>1</v>
      </c>
      <c r="AP191" s="66">
        <v>1</v>
      </c>
      <c r="AQ191" s="66">
        <v>1</v>
      </c>
      <c r="AR191" s="66"/>
      <c r="AS191" s="66">
        <v>1</v>
      </c>
      <c r="AT191" s="38">
        <v>1</v>
      </c>
      <c r="AX191" s="34" t="str">
        <f t="shared" si="19"/>
        <v xml:space="preserve">1985, 1986, 1987, 1988, 1989, 1990, 1991, 1992, 1993, 1994, 1995, 1996, 1997, 1998, 1999, 2000, 2001, 2002, 2003, 2004, 2005, 2006, 2007, 2008, 2009, 2010, 2011, 2012, 2013, 2014, 2015, 2016, 2017, 2018, 2019, 2020, 2021, 2022, 2024, 2025, </v>
      </c>
      <c r="AY191" s="81" t="s">
        <v>526</v>
      </c>
      <c r="AZ191" s="81" t="s">
        <v>527</v>
      </c>
      <c r="BA191" s="81" t="s">
        <v>528</v>
      </c>
      <c r="BB191" s="78" t="s">
        <v>360</v>
      </c>
    </row>
    <row r="192" spans="1:54" x14ac:dyDescent="0.2">
      <c r="A192" s="24">
        <f t="shared" si="18"/>
        <v>189</v>
      </c>
      <c r="B192" s="76" t="s">
        <v>529</v>
      </c>
      <c r="C192" s="76" t="s">
        <v>530</v>
      </c>
      <c r="D192" s="25" t="s">
        <v>53</v>
      </c>
      <c r="E192" s="25">
        <v>0</v>
      </c>
      <c r="F192" s="77">
        <v>1</v>
      </c>
      <c r="G192" s="77">
        <v>1</v>
      </c>
      <c r="H192" s="77">
        <v>1</v>
      </c>
      <c r="I192" s="77">
        <v>1</v>
      </c>
      <c r="J192" s="77">
        <v>1</v>
      </c>
      <c r="K192" s="77">
        <v>1</v>
      </c>
      <c r="L192" s="77">
        <v>1</v>
      </c>
      <c r="M192" s="77">
        <v>1</v>
      </c>
      <c r="N192" s="77">
        <v>1</v>
      </c>
      <c r="O192" s="77">
        <v>1</v>
      </c>
      <c r="P192" s="77">
        <v>1</v>
      </c>
      <c r="Q192" s="77">
        <v>1</v>
      </c>
      <c r="R192" s="77">
        <v>1</v>
      </c>
      <c r="S192" s="77">
        <v>1</v>
      </c>
      <c r="T192" s="77">
        <v>1</v>
      </c>
      <c r="U192" s="77">
        <v>1</v>
      </c>
      <c r="V192" s="77">
        <v>1</v>
      </c>
      <c r="W192" s="77">
        <v>1</v>
      </c>
      <c r="X192" s="77">
        <v>1</v>
      </c>
      <c r="Y192" s="77">
        <v>2</v>
      </c>
      <c r="Z192" s="77">
        <v>2</v>
      </c>
      <c r="AA192" s="77">
        <v>2</v>
      </c>
      <c r="AB192" s="77">
        <v>2</v>
      </c>
      <c r="AC192" s="77">
        <v>2</v>
      </c>
      <c r="AD192" s="77">
        <v>2</v>
      </c>
      <c r="AE192" s="77">
        <v>2</v>
      </c>
      <c r="AF192" s="77">
        <v>2</v>
      </c>
      <c r="AG192" s="77">
        <v>2</v>
      </c>
      <c r="AH192" s="77">
        <v>1</v>
      </c>
      <c r="AI192" s="77">
        <v>1</v>
      </c>
      <c r="AJ192" s="77">
        <v>1</v>
      </c>
      <c r="AK192" s="77">
        <v>1</v>
      </c>
      <c r="AL192" s="77">
        <v>1</v>
      </c>
      <c r="AM192" s="77">
        <v>1</v>
      </c>
      <c r="AN192" s="77">
        <v>1</v>
      </c>
      <c r="AO192" s="78">
        <v>1</v>
      </c>
      <c r="AP192" s="66">
        <v>1</v>
      </c>
      <c r="AQ192" s="66">
        <v>1</v>
      </c>
      <c r="AR192" s="66"/>
      <c r="AS192" s="66">
        <v>1</v>
      </c>
      <c r="AT192" s="38">
        <v>1</v>
      </c>
      <c r="AX192" s="34" t="str">
        <f t="shared" si="19"/>
        <v xml:space="preserve">1985, 1986, 1987, 1988, 1989, 1990, 1991, 1992, 1993, 1994, 1995, 1996, 1997, 1998, 1999, 2000, 2001, 2002, 2003, 2004, 2005, 2006, 2007, 2008, 2009, 2010, 2011, 2012, 2013, 2014, 2015, 2016, 2017, 2018, 2019, 2020, 2021, 2022, 2024, 2025, </v>
      </c>
      <c r="AY192" s="81" t="s">
        <v>531</v>
      </c>
      <c r="AZ192" s="86" t="s">
        <v>532</v>
      </c>
      <c r="BA192" s="86" t="s">
        <v>533</v>
      </c>
      <c r="BB192" s="78"/>
    </row>
    <row r="193" spans="1:54" ht="18" customHeight="1" x14ac:dyDescent="0.2">
      <c r="A193" s="24">
        <f t="shared" si="18"/>
        <v>190</v>
      </c>
      <c r="B193" s="76" t="s">
        <v>534</v>
      </c>
      <c r="C193" s="76" t="s">
        <v>535</v>
      </c>
      <c r="D193" s="25" t="s">
        <v>53</v>
      </c>
      <c r="E193" s="25">
        <v>0</v>
      </c>
      <c r="F193" s="77">
        <v>2</v>
      </c>
      <c r="G193" s="77">
        <v>2</v>
      </c>
      <c r="H193" s="77">
        <v>2</v>
      </c>
      <c r="I193" s="77">
        <v>2</v>
      </c>
      <c r="J193" s="77">
        <v>2</v>
      </c>
      <c r="K193" s="77">
        <v>2</v>
      </c>
      <c r="L193" s="77">
        <v>2</v>
      </c>
      <c r="M193" s="77">
        <v>2</v>
      </c>
      <c r="N193" s="77">
        <v>2</v>
      </c>
      <c r="O193" s="77">
        <v>1</v>
      </c>
      <c r="P193" s="77">
        <v>1</v>
      </c>
      <c r="Q193" s="77">
        <v>2</v>
      </c>
      <c r="R193" s="77">
        <v>1</v>
      </c>
      <c r="S193" s="77">
        <v>1</v>
      </c>
      <c r="T193" s="77">
        <v>1</v>
      </c>
      <c r="U193" s="77">
        <v>1</v>
      </c>
      <c r="V193" s="77">
        <v>2</v>
      </c>
      <c r="W193" s="77">
        <v>2</v>
      </c>
      <c r="X193" s="77">
        <v>1</v>
      </c>
      <c r="Y193" s="77">
        <v>2</v>
      </c>
      <c r="Z193" s="77">
        <v>1</v>
      </c>
      <c r="AA193" s="77">
        <v>1</v>
      </c>
      <c r="AB193" s="77">
        <v>1</v>
      </c>
      <c r="AC193" s="77">
        <v>2</v>
      </c>
      <c r="AD193" s="77">
        <v>1</v>
      </c>
      <c r="AE193" s="77">
        <v>1</v>
      </c>
      <c r="AF193" s="77">
        <v>1</v>
      </c>
      <c r="AG193" s="77">
        <v>1</v>
      </c>
      <c r="AH193" s="77">
        <v>1</v>
      </c>
      <c r="AI193" s="77">
        <v>2</v>
      </c>
      <c r="AJ193" s="77">
        <v>1</v>
      </c>
      <c r="AK193" s="77">
        <v>1</v>
      </c>
      <c r="AL193" s="77">
        <v>1</v>
      </c>
      <c r="AM193" s="77">
        <v>2</v>
      </c>
      <c r="AN193" s="77">
        <v>1</v>
      </c>
      <c r="AO193" s="78">
        <v>1</v>
      </c>
      <c r="AP193" s="66">
        <v>1</v>
      </c>
      <c r="AQ193" s="66">
        <v>1</v>
      </c>
      <c r="AR193" s="66">
        <v>1</v>
      </c>
      <c r="AS193" s="66">
        <v>1</v>
      </c>
      <c r="AX193" s="34" t="str">
        <f t="shared" si="19"/>
        <v xml:space="preserve">1985, 1986, 1987, 1988, 1989, 1990, 1991, 1992, 1993, 1994, 1995, 1996, 1997, 1998, 1999, 2000, 2001, 2002, 2003, 2004, 2005, 2006, 2007, 2008, 2009, 2010, 2011, 2012, 2013, 2014, 2015, 2016, 2017, 2018, 2019, 2020, 2021, 2022, 2023, 2024, </v>
      </c>
      <c r="AY193" s="84" t="s">
        <v>536</v>
      </c>
      <c r="AZ193" s="78" t="s">
        <v>537</v>
      </c>
      <c r="BA193" s="81" t="s">
        <v>538</v>
      </c>
      <c r="BB193" s="81" t="s">
        <v>539</v>
      </c>
    </row>
  </sheetData>
  <phoneticPr fontId="9" type="noConversion"/>
  <hyperlinks>
    <hyperlink ref="AY133" r:id="rId1" xr:uid="{DD83ED0C-4464-4601-B0F7-FFD83AC2C109}"/>
    <hyperlink ref="BA190" r:id="rId2" xr:uid="{6C39C24F-0885-43F9-BDA0-1EFEE782130E}"/>
    <hyperlink ref="AY151" r:id="rId3" xr:uid="{681FFC98-8D4D-476A-B75F-AB2CF1BFE9FC}"/>
    <hyperlink ref="AY152" r:id="rId4" xr:uid="{FD1C8EF5-26ED-4492-8C3D-463D2369287B}"/>
    <hyperlink ref="AY154" r:id="rId5" xr:uid="{36F64BD7-3E9F-43EF-80F3-579782CC3D69}"/>
    <hyperlink ref="AZ154" r:id="rId6" xr:uid="{709535F1-C235-40AF-9E01-470681ADE512}"/>
    <hyperlink ref="AY155" r:id="rId7" xr:uid="{7A535679-5A3E-4076-94F4-B96394E353D5}"/>
    <hyperlink ref="AY156" r:id="rId8" xr:uid="{84A207D1-1722-49E7-B2D1-97E875FAF4EF}"/>
    <hyperlink ref="AY157" r:id="rId9" xr:uid="{5C53EC88-2056-41B4-A5F4-A2EDA6659F66}"/>
    <hyperlink ref="AY158" r:id="rId10" location="!/lang/en" xr:uid="{5A59B5B7-A966-40CD-A502-EA42C9123AFC}"/>
    <hyperlink ref="AY159" r:id="rId11" xr:uid="{1519CCE8-984D-4E91-B157-C4A4FDE9F824}"/>
    <hyperlink ref="AY161" r:id="rId12" xr:uid="{633198D7-A276-4867-9859-8C84258F6213}"/>
    <hyperlink ref="AZ161" r:id="rId13" xr:uid="{DB7C4B4E-4B24-4FE3-A6BA-802EF3210E73}"/>
    <hyperlink ref="BA161" r:id="rId14" display="https://www.abs.gov.au/AUSSTATS/abs@.nsf/second+level+view?ReadForm&amp;prodno=6530.0&amp;viewtitle=Household%20Expenditure%20Survey,%20Australia:%20Summary%20of%20results~1998-99~Previous~28/06/2000&amp;&amp;tabname=Past%20Future%20Issues&amp;prodno=6530.0&amp;issue=1998-99&amp;num=&amp;view=&amp;" xr:uid="{9E497A51-A678-4895-A146-B9488BCF2F5E}"/>
    <hyperlink ref="AY162" r:id="rId15" xr:uid="{7DC3CA65-5E02-4304-9664-A4B3EBA938BD}"/>
    <hyperlink ref="AY165" r:id="rId16" xr:uid="{11378B2C-89A4-44FA-854C-832A5A45027B}"/>
    <hyperlink ref="AY168" r:id="rId17" xr:uid="{4A7E123E-76D4-4683-AC1A-630308DB66DA}"/>
    <hyperlink ref="BA169" r:id="rId18" location="abreadcrumb" xr:uid="{C9FFECD8-9F10-4D44-89AE-F50F2EA2BDDE}"/>
    <hyperlink ref="AY170" r:id="rId19" xr:uid="{955FDF70-A9E2-4D94-BBEB-509EAB098B7E}"/>
    <hyperlink ref="AZ170" r:id="rId20" xr:uid="{062713F6-109A-4FFE-B01A-2BCE78F3185E}"/>
    <hyperlink ref="BA170" r:id="rId21" xr:uid="{BED32AE8-E0DC-468F-ACE1-98ECE4D71B13}"/>
    <hyperlink ref="AY171" r:id="rId22" xr:uid="{85FD3EBA-7E1F-45D9-B6D4-60D7F0C73E4F}"/>
    <hyperlink ref="BA172" r:id="rId23" xr:uid="{17FB83D9-5C9C-41B1-BE0D-47FB9BA791EA}"/>
    <hyperlink ref="AY173" r:id="rId24" xr:uid="{27FA467A-A797-46D1-B3B2-E77A1AF09666}"/>
    <hyperlink ref="AZ173" r:id="rId25" xr:uid="{D53E35B1-F968-4453-966E-D1E447B2CF74}"/>
    <hyperlink ref="AY174" r:id="rId26" xr:uid="{453022F1-FF35-4339-9F32-91B015A0EB08}"/>
    <hyperlink ref="AZ175" r:id="rId27" xr:uid="{A3B38166-E49A-442A-A5FC-AAF65763CF70}"/>
    <hyperlink ref="BA175" r:id="rId28" xr:uid="{08BC3C68-D0C4-4478-8BF1-57D5D146FA87}"/>
    <hyperlink ref="AY176" r:id="rId29" xr:uid="{13E5B5EB-E40B-4E2D-AB01-B9368BBD1EB0}"/>
    <hyperlink ref="AY177" r:id="rId30" xr:uid="{B4AD2239-7B75-4AE4-BD56-4E9090AF7D44}"/>
    <hyperlink ref="AZ177" r:id="rId31" xr:uid="{7D6FE0B6-7EB1-4501-891A-995361335578}"/>
    <hyperlink ref="AY178" r:id="rId32" xr:uid="{9CCFE9B4-986A-4B1C-B7DD-D98E1019ED56}"/>
    <hyperlink ref="AZ178" r:id="rId33" xr:uid="{EB4A9D1C-264D-4DB4-9566-E9045689537B}"/>
    <hyperlink ref="AY180" r:id="rId34" display="http://www.stat.go.jp/english/index.html" xr:uid="{2EA7AF68-DED8-4A9C-9DF0-8EDDE8975BF3}"/>
    <hyperlink ref="AZ180" r:id="rId35" xr:uid="{3C8337FE-BCB1-49E3-99C2-191781C5B261}"/>
    <hyperlink ref="AY181" r:id="rId36" xr:uid="{91F19F5E-D406-4738-AD38-97B8FCF5B0D7}"/>
    <hyperlink ref="AZ181" r:id="rId37" xr:uid="{110126BA-009E-4313-8560-A0BC33E56720}"/>
    <hyperlink ref="BA181" r:id="rId38" xr:uid="{9C30EDFE-CC89-417F-9C23-749C7E3A7CF8}"/>
    <hyperlink ref="AY182" r:id="rId39" xr:uid="{F4E1DB2D-9013-4913-8E65-C1E896E41B47}"/>
    <hyperlink ref="AY184" r:id="rId40" display="https://nso.gov.mt/en/nso/Sources_and_Methods/Unit_C1/Living_Conditions_and_Culture_Statistics/Pages/Statistics-on-Income-and-Living-Conditions.aspx" xr:uid="{00374898-BA33-4BD0-989A-C99F0B40CA04}"/>
    <hyperlink ref="AZ184" r:id="rId41" xr:uid="{324F835A-67E4-4270-8669-ABF4B8B4D767}"/>
    <hyperlink ref="AZ186" r:id="rId42" xr:uid="{EAD83A17-9E1E-4DB8-BB89-7EF5D60BB618}"/>
    <hyperlink ref="BA186" r:id="rId43" xr:uid="{13303CDD-0197-41BF-81E8-FC91DE6B3AFF}"/>
    <hyperlink ref="AY187" r:id="rId44" xr:uid="{7ED82D97-C33C-49C4-AF84-1C1136804ED9}"/>
    <hyperlink ref="AZ187" r:id="rId45" xr:uid="{524F0F48-93FA-49FC-9C66-20778A0B96F0}"/>
    <hyperlink ref="AZ188" r:id="rId46" xr:uid="{73FAD00E-27DF-4035-9DA0-B58D68062CD6}"/>
    <hyperlink ref="AY189" r:id="rId47" xr:uid="{2A6F38BD-258A-4095-9A68-CB5D1DA43BF1}"/>
    <hyperlink ref="AY190" r:id="rId48" xr:uid="{D1A080D9-1352-41E2-BC98-AE0322D3816B}"/>
    <hyperlink ref="AY191" r:id="rId49" xr:uid="{8ECCE955-C8EB-4DCC-AB62-01623E074D71}"/>
    <hyperlink ref="AZ191" r:id="rId50" xr:uid="{9A9A751B-6B09-4E71-9FDB-866BFF36A705}"/>
    <hyperlink ref="BA191" r:id="rId51" xr:uid="{756F3AD8-A6F8-45DA-A61E-AB94E64B13ED}"/>
    <hyperlink ref="AY192" r:id="rId52" xr:uid="{DFB83384-1DDA-4E70-8CD8-B54FED37E09B}"/>
    <hyperlink ref="BB193" r:id="rId53" xr:uid="{79E8B7F5-064A-4DC0-A229-A96B0926F98C}"/>
    <hyperlink ref="BA193" r:id="rId54" xr:uid="{BFB0BA50-5A0E-4AF9-A6AC-68847DC6D907}"/>
    <hyperlink ref="AY149" r:id="rId55" xr:uid="{34B367B7-19A3-4FC9-A24B-1254E532CDAE}"/>
    <hyperlink ref="AZ179" r:id="rId56" xr:uid="{358C2848-764E-48B4-9379-F2C32029F7E7}"/>
    <hyperlink ref="AZ162" r:id="rId57" xr:uid="{C167087E-84FD-4220-B3C2-5B9567BD14B5}"/>
    <hyperlink ref="BA163" r:id="rId58" location="news" xr:uid="{62C26E2D-DF74-4BC8-8BE1-3797605C1764}"/>
    <hyperlink ref="BD163" r:id="rId59" xr:uid="{6952638A-3B93-4F84-99CA-41C99D45D6CA}"/>
    <hyperlink ref="AZ165" r:id="rId60" xr:uid="{B7CC895E-435B-4F8C-A9F2-9BEF4850CFB0}"/>
    <hyperlink ref="BB179" r:id="rId61" xr:uid="{690A57FF-2F10-45B8-B2CA-65D6D77D2257}"/>
    <hyperlink ref="AZ169" r:id="rId62" xr:uid="{B624BA19-566F-481B-A5E0-21466F0AAD2D}"/>
    <hyperlink ref="BA178" r:id="rId63" xr:uid="{2C247FCB-C444-4238-8CD3-9DE3BF1B93F0}"/>
    <hyperlink ref="BB184" r:id="rId64" xr:uid="{559C725B-D3AE-462B-AF56-1BA2B2050A21}"/>
    <hyperlink ref="AZ183" r:id="rId65" xr:uid="{56677CCA-B5E2-43F4-87F7-779A6C6808EF}"/>
    <hyperlink ref="AZ185" r:id="rId66" location="id=ipo-inkomenspanelonderzoek-reeks-1977-2000-0" xr:uid="{6AF69913-E1DB-4F84-AEE3-4EA01E38419B}"/>
    <hyperlink ref="AZ192" r:id="rId67" xr:uid="{7DB4DE16-7A07-4889-8AE5-E1024E9A95D7}"/>
    <hyperlink ref="BA192" r:id="rId68" xr:uid="{552ACCF0-1EBC-43A7-99DA-EB3EEEEDDD92}"/>
  </hyperlinks>
  <pageMargins left="0.7" right="0.7" top="0.75" bottom="0.75" header="0.3" footer="0.3"/>
  <pageSetup orientation="portrait" r:id="rId69"/>
  <headerFooter>
    <oddFooter>&amp;R_x000D_&amp;1#&amp;"Calibri"&amp;10&amp;K000000 Official Use Only</oddFooter>
  </headerFooter>
  <legacyDrawing r:id="rId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D29E-E5D4-42BE-9826-0DF58E280A02}">
  <dimension ref="A1:AM192"/>
  <sheetViews>
    <sheetView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A5" sqref="AA5"/>
    </sheetView>
  </sheetViews>
  <sheetFormatPr baseColWidth="10" defaultColWidth="8.83203125" defaultRowHeight="15" x14ac:dyDescent="0.2"/>
  <cols>
    <col min="1" max="1" width="9.1640625" style="43"/>
    <col min="2" max="2" width="19.6640625" style="43" customWidth="1"/>
    <col min="3" max="39" width="9.1640625" style="43"/>
  </cols>
  <sheetData>
    <row r="1" spans="1:39" x14ac:dyDescent="0.2">
      <c r="C1" s="43" t="s">
        <v>540</v>
      </c>
      <c r="D1" s="43" t="s">
        <v>9</v>
      </c>
      <c r="E1" s="43" t="s">
        <v>10</v>
      </c>
      <c r="F1" s="43" t="s">
        <v>11</v>
      </c>
      <c r="G1" s="43" t="s">
        <v>12</v>
      </c>
      <c r="H1" s="43" t="s">
        <v>13</v>
      </c>
      <c r="I1" s="43" t="s">
        <v>14</v>
      </c>
      <c r="J1" s="43" t="s">
        <v>15</v>
      </c>
      <c r="K1" s="43" t="s">
        <v>16</v>
      </c>
      <c r="L1" s="43" t="s">
        <v>17</v>
      </c>
      <c r="M1" s="43" t="s">
        <v>18</v>
      </c>
      <c r="N1" s="43" t="s">
        <v>19</v>
      </c>
      <c r="O1" s="43" t="s">
        <v>20</v>
      </c>
      <c r="P1" s="43" t="s">
        <v>21</v>
      </c>
      <c r="Q1" s="43" t="s">
        <v>22</v>
      </c>
      <c r="R1" s="43" t="s">
        <v>23</v>
      </c>
      <c r="S1" s="43" t="s">
        <v>24</v>
      </c>
      <c r="T1" s="43" t="s">
        <v>25</v>
      </c>
      <c r="U1" s="43" t="s">
        <v>26</v>
      </c>
      <c r="V1" s="43" t="s">
        <v>27</v>
      </c>
      <c r="W1" s="43" t="s">
        <v>28</v>
      </c>
      <c r="X1" s="43" t="s">
        <v>29</v>
      </c>
      <c r="Y1" s="43" t="s">
        <v>30</v>
      </c>
      <c r="Z1" s="43" t="s">
        <v>31</v>
      </c>
      <c r="AA1" s="43" t="s">
        <v>32</v>
      </c>
      <c r="AB1" s="43" t="s">
        <v>33</v>
      </c>
      <c r="AC1" s="43" t="s">
        <v>34</v>
      </c>
      <c r="AD1" s="43" t="s">
        <v>35</v>
      </c>
      <c r="AE1" s="43" t="s">
        <v>36</v>
      </c>
      <c r="AF1" s="43" t="s">
        <v>37</v>
      </c>
      <c r="AG1" s="43" t="s">
        <v>38</v>
      </c>
      <c r="AH1" s="43" t="s">
        <v>39</v>
      </c>
      <c r="AI1" s="43" t="s">
        <v>40</v>
      </c>
      <c r="AJ1" s="43" t="s">
        <v>41</v>
      </c>
      <c r="AK1" s="43" t="s">
        <v>42</v>
      </c>
      <c r="AL1" s="43" t="s">
        <v>43</v>
      </c>
      <c r="AM1" s="43" t="s">
        <v>44</v>
      </c>
    </row>
    <row r="2" spans="1:39" x14ac:dyDescent="0.2">
      <c r="A2" s="43" t="s">
        <v>5</v>
      </c>
      <c r="B2" s="43" t="s">
        <v>7</v>
      </c>
      <c r="C2" s="43" t="s">
        <v>541</v>
      </c>
    </row>
    <row r="3" spans="1:39" x14ac:dyDescent="0.2">
      <c r="A3" s="43" t="s">
        <v>51</v>
      </c>
      <c r="B3" s="43" t="s">
        <v>53</v>
      </c>
      <c r="C3" s="43">
        <v>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0</v>
      </c>
      <c r="V3" s="43">
        <v>1</v>
      </c>
      <c r="W3" s="43">
        <v>0</v>
      </c>
      <c r="X3" s="43">
        <v>1</v>
      </c>
      <c r="Y3" s="43">
        <v>0</v>
      </c>
      <c r="Z3" s="43">
        <v>1</v>
      </c>
      <c r="AA3" s="43">
        <v>0</v>
      </c>
      <c r="AB3" s="43">
        <v>0</v>
      </c>
      <c r="AC3" s="43">
        <v>0</v>
      </c>
      <c r="AD3" s="43">
        <v>1</v>
      </c>
      <c r="AE3" s="43">
        <v>0</v>
      </c>
      <c r="AF3" s="43">
        <v>1</v>
      </c>
      <c r="AG3" s="43">
        <v>1</v>
      </c>
      <c r="AH3" s="43">
        <v>0</v>
      </c>
      <c r="AI3" s="43">
        <v>1</v>
      </c>
      <c r="AJ3" s="43">
        <v>0</v>
      </c>
      <c r="AK3" s="43">
        <v>0</v>
      </c>
      <c r="AL3" s="43">
        <v>1</v>
      </c>
      <c r="AM3" s="43">
        <v>0</v>
      </c>
    </row>
    <row r="4" spans="1:39" x14ac:dyDescent="0.2">
      <c r="A4" s="43" t="s">
        <v>54</v>
      </c>
      <c r="B4" s="43" t="s">
        <v>53</v>
      </c>
      <c r="C4" s="43">
        <v>0</v>
      </c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1</v>
      </c>
      <c r="V4" s="43">
        <v>1</v>
      </c>
      <c r="W4" s="43">
        <v>1</v>
      </c>
      <c r="X4" s="43">
        <v>1</v>
      </c>
      <c r="Y4" s="43">
        <v>1</v>
      </c>
      <c r="Z4" s="43">
        <v>0</v>
      </c>
      <c r="AA4" s="43">
        <v>1</v>
      </c>
      <c r="AB4" s="43">
        <v>1</v>
      </c>
      <c r="AC4" s="43">
        <v>0</v>
      </c>
      <c r="AD4" s="43">
        <v>0</v>
      </c>
      <c r="AE4" s="43">
        <v>1</v>
      </c>
      <c r="AF4" s="43">
        <v>0</v>
      </c>
      <c r="AG4" s="43">
        <v>1</v>
      </c>
      <c r="AH4" s="43">
        <v>1</v>
      </c>
      <c r="AI4" s="43">
        <v>1</v>
      </c>
      <c r="AJ4" s="43">
        <v>0</v>
      </c>
      <c r="AK4" s="43">
        <v>0</v>
      </c>
      <c r="AL4" s="43">
        <v>0</v>
      </c>
      <c r="AM4" s="43">
        <v>0</v>
      </c>
    </row>
    <row r="5" spans="1:39" x14ac:dyDescent="0.2">
      <c r="A5" s="43" t="s">
        <v>56</v>
      </c>
      <c r="B5" s="43" t="s">
        <v>53</v>
      </c>
      <c r="C5" s="43">
        <v>0</v>
      </c>
      <c r="D5" s="43">
        <v>0</v>
      </c>
      <c r="E5" s="43">
        <v>0</v>
      </c>
      <c r="F5" s="43">
        <v>0</v>
      </c>
      <c r="G5" s="43">
        <v>1</v>
      </c>
      <c r="H5" s="43">
        <v>1</v>
      </c>
      <c r="I5" s="43">
        <v>0</v>
      </c>
      <c r="J5" s="43">
        <v>0</v>
      </c>
      <c r="K5" s="43">
        <v>0</v>
      </c>
      <c r="L5" s="43">
        <v>0</v>
      </c>
      <c r="M5" s="43">
        <v>0</v>
      </c>
      <c r="N5" s="43">
        <v>2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3">
        <v>0</v>
      </c>
      <c r="Z5" s="43">
        <v>0</v>
      </c>
      <c r="AA5" s="43">
        <v>0</v>
      </c>
      <c r="AB5" s="43">
        <v>0</v>
      </c>
      <c r="AC5" s="43">
        <v>1</v>
      </c>
      <c r="AD5" s="43">
        <v>0</v>
      </c>
      <c r="AE5" s="43">
        <v>0</v>
      </c>
      <c r="AF5" s="43">
        <v>0</v>
      </c>
      <c r="AG5" s="43">
        <v>0</v>
      </c>
      <c r="AH5" s="43">
        <v>0</v>
      </c>
      <c r="AI5" s="43">
        <v>0</v>
      </c>
      <c r="AJ5" s="43">
        <v>0</v>
      </c>
      <c r="AK5" s="43">
        <v>0</v>
      </c>
      <c r="AL5" s="43">
        <v>0</v>
      </c>
      <c r="AM5" s="43">
        <v>0</v>
      </c>
    </row>
    <row r="6" spans="1:39" x14ac:dyDescent="0.2">
      <c r="A6" s="43" t="s">
        <v>58</v>
      </c>
      <c r="B6" s="43" t="s">
        <v>53</v>
      </c>
      <c r="C6" s="43">
        <v>0</v>
      </c>
      <c r="D6" s="43">
        <v>0</v>
      </c>
      <c r="E6" s="43">
        <v>0</v>
      </c>
      <c r="F6" s="43">
        <v>0</v>
      </c>
      <c r="G6" s="43">
        <v>0</v>
      </c>
      <c r="H6" s="43">
        <v>0</v>
      </c>
      <c r="I6" s="43">
        <v>1</v>
      </c>
      <c r="J6" s="43">
        <v>0</v>
      </c>
      <c r="K6" s="43">
        <v>0</v>
      </c>
      <c r="L6" s="43">
        <v>0</v>
      </c>
      <c r="M6" s="43">
        <v>0</v>
      </c>
      <c r="N6" s="43">
        <v>0</v>
      </c>
      <c r="O6" s="43">
        <v>0</v>
      </c>
      <c r="P6" s="43">
        <v>0</v>
      </c>
      <c r="Q6" s="43">
        <v>0</v>
      </c>
      <c r="R6" s="43">
        <v>1</v>
      </c>
      <c r="S6" s="43">
        <v>1</v>
      </c>
      <c r="T6" s="43">
        <v>0</v>
      </c>
      <c r="U6" s="43">
        <v>0</v>
      </c>
      <c r="V6" s="43">
        <v>0</v>
      </c>
      <c r="W6" s="43">
        <v>0</v>
      </c>
      <c r="X6" s="43">
        <v>1</v>
      </c>
      <c r="Y6" s="43">
        <v>0</v>
      </c>
      <c r="Z6" s="43">
        <v>0</v>
      </c>
      <c r="AA6" s="43">
        <v>1</v>
      </c>
      <c r="AB6" s="43">
        <v>1</v>
      </c>
      <c r="AC6" s="43">
        <v>0</v>
      </c>
      <c r="AD6" s="43">
        <v>1</v>
      </c>
      <c r="AE6" s="43">
        <v>0</v>
      </c>
      <c r="AF6" s="43">
        <v>0</v>
      </c>
      <c r="AG6" s="43">
        <v>0</v>
      </c>
      <c r="AH6" s="43">
        <v>0</v>
      </c>
      <c r="AI6" s="43">
        <v>0</v>
      </c>
      <c r="AJ6" s="43">
        <v>0</v>
      </c>
      <c r="AK6" s="43">
        <v>1</v>
      </c>
      <c r="AL6" s="43">
        <v>0</v>
      </c>
      <c r="AM6" s="43">
        <v>0</v>
      </c>
    </row>
    <row r="7" spans="1:39" x14ac:dyDescent="0.2">
      <c r="A7" s="43" t="s">
        <v>60</v>
      </c>
      <c r="B7" s="43" t="s">
        <v>53</v>
      </c>
      <c r="C7" s="43">
        <v>0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1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</row>
    <row r="8" spans="1:39" x14ac:dyDescent="0.2">
      <c r="A8" s="43" t="s">
        <v>62</v>
      </c>
      <c r="B8" s="43" t="s">
        <v>53</v>
      </c>
      <c r="C8" s="43">
        <v>0</v>
      </c>
      <c r="D8" s="43">
        <v>0.5</v>
      </c>
      <c r="E8" s="43">
        <v>1</v>
      </c>
      <c r="F8" s="43">
        <v>0.5</v>
      </c>
      <c r="G8" s="43">
        <v>1</v>
      </c>
      <c r="H8" s="43">
        <v>1</v>
      </c>
      <c r="I8" s="43">
        <v>1</v>
      </c>
      <c r="J8" s="43">
        <v>1</v>
      </c>
      <c r="K8" s="43">
        <v>1</v>
      </c>
      <c r="L8" s="43">
        <v>1</v>
      </c>
      <c r="M8" s="43">
        <v>1</v>
      </c>
      <c r="N8" s="43">
        <v>1</v>
      </c>
      <c r="O8" s="43">
        <v>0</v>
      </c>
      <c r="P8" s="43">
        <v>0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1</v>
      </c>
      <c r="AA8" s="43">
        <v>1</v>
      </c>
      <c r="AB8" s="43">
        <v>1</v>
      </c>
      <c r="AC8" s="43">
        <v>1</v>
      </c>
      <c r="AD8" s="43">
        <v>1</v>
      </c>
      <c r="AE8" s="43">
        <v>1</v>
      </c>
      <c r="AF8" s="43">
        <v>1</v>
      </c>
      <c r="AG8" s="43">
        <v>1</v>
      </c>
      <c r="AH8" s="43">
        <v>1</v>
      </c>
      <c r="AI8" s="43">
        <v>1</v>
      </c>
      <c r="AJ8" s="43">
        <v>1</v>
      </c>
      <c r="AK8" s="43">
        <v>1</v>
      </c>
      <c r="AL8" s="43">
        <v>0</v>
      </c>
      <c r="AM8" s="43">
        <v>0</v>
      </c>
    </row>
    <row r="9" spans="1:39" x14ac:dyDescent="0.2">
      <c r="A9" s="43" t="s">
        <v>64</v>
      </c>
      <c r="B9" s="43" t="s">
        <v>53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1</v>
      </c>
      <c r="S9" s="43">
        <v>0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1</v>
      </c>
      <c r="Z9" s="43">
        <v>1</v>
      </c>
      <c r="AA9" s="43">
        <v>1</v>
      </c>
      <c r="AB9" s="43">
        <v>1</v>
      </c>
      <c r="AC9" s="43">
        <v>1</v>
      </c>
      <c r="AD9" s="43">
        <v>1</v>
      </c>
      <c r="AE9" s="43">
        <v>1</v>
      </c>
      <c r="AF9" s="43">
        <v>1</v>
      </c>
      <c r="AG9" s="43">
        <v>1</v>
      </c>
      <c r="AH9" s="43">
        <v>1</v>
      </c>
      <c r="AI9" s="43">
        <v>1</v>
      </c>
      <c r="AJ9" s="43">
        <v>1</v>
      </c>
      <c r="AK9" s="43">
        <v>1</v>
      </c>
      <c r="AL9" s="43">
        <v>1</v>
      </c>
      <c r="AM9" s="43">
        <v>0</v>
      </c>
    </row>
    <row r="10" spans="1:39" x14ac:dyDescent="0.2">
      <c r="A10" s="43" t="s">
        <v>66</v>
      </c>
      <c r="B10" s="43" t="s">
        <v>53</v>
      </c>
      <c r="C10" s="43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2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1</v>
      </c>
      <c r="U10" s="43">
        <v>1</v>
      </c>
      <c r="V10" s="43">
        <v>1</v>
      </c>
      <c r="W10" s="43">
        <v>1</v>
      </c>
      <c r="X10" s="43">
        <v>1</v>
      </c>
      <c r="Y10" s="43">
        <v>0</v>
      </c>
      <c r="Z10" s="43">
        <v>0</v>
      </c>
      <c r="AA10" s="43">
        <v>1</v>
      </c>
      <c r="AB10" s="43">
        <v>0</v>
      </c>
      <c r="AC10" s="43">
        <v>1</v>
      </c>
      <c r="AD10" s="43">
        <v>1</v>
      </c>
      <c r="AE10" s="43">
        <v>1</v>
      </c>
      <c r="AF10" s="43">
        <v>1</v>
      </c>
      <c r="AG10" s="43">
        <v>1</v>
      </c>
      <c r="AH10" s="43">
        <v>1</v>
      </c>
      <c r="AI10" s="43">
        <v>1</v>
      </c>
      <c r="AJ10" s="43">
        <v>1</v>
      </c>
      <c r="AK10" s="43">
        <v>1</v>
      </c>
      <c r="AL10" s="43">
        <v>0</v>
      </c>
      <c r="AM10" s="43">
        <v>0</v>
      </c>
    </row>
    <row r="11" spans="1:39" x14ac:dyDescent="0.2">
      <c r="A11" s="43" t="s">
        <v>68</v>
      </c>
      <c r="B11" s="43" t="s">
        <v>53</v>
      </c>
      <c r="C11" s="43">
        <v>0</v>
      </c>
      <c r="D11" s="43">
        <v>2</v>
      </c>
      <c r="E11" s="43">
        <v>1</v>
      </c>
      <c r="F11" s="43">
        <v>0</v>
      </c>
      <c r="G11" s="43">
        <v>1</v>
      </c>
      <c r="H11" s="43">
        <v>1</v>
      </c>
      <c r="I11" s="43">
        <v>0</v>
      </c>
      <c r="J11" s="43">
        <v>1</v>
      </c>
      <c r="K11" s="43">
        <v>1</v>
      </c>
      <c r="L11" s="43">
        <v>0</v>
      </c>
      <c r="M11" s="43">
        <v>1</v>
      </c>
      <c r="N11" s="43">
        <v>1</v>
      </c>
      <c r="O11" s="43">
        <v>0</v>
      </c>
      <c r="P11" s="43">
        <v>0</v>
      </c>
      <c r="Q11" s="43">
        <v>0</v>
      </c>
      <c r="R11" s="43">
        <v>0</v>
      </c>
      <c r="S11" s="43">
        <v>1</v>
      </c>
      <c r="T11" s="43">
        <v>0</v>
      </c>
      <c r="U11" s="43">
        <v>0</v>
      </c>
      <c r="V11" s="43">
        <v>0</v>
      </c>
      <c r="W11" s="43">
        <v>0</v>
      </c>
      <c r="X11" s="43">
        <v>1</v>
      </c>
      <c r="Y11" s="43">
        <v>0</v>
      </c>
      <c r="Z11" s="43">
        <v>0</v>
      </c>
      <c r="AA11" s="43">
        <v>0</v>
      </c>
      <c r="AB11" s="43">
        <v>0</v>
      </c>
      <c r="AC11" s="43">
        <v>1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1</v>
      </c>
      <c r="AJ11" s="43">
        <v>0</v>
      </c>
      <c r="AK11" s="43">
        <v>0</v>
      </c>
      <c r="AL11" s="43">
        <v>0</v>
      </c>
      <c r="AM11" s="43">
        <v>0</v>
      </c>
    </row>
    <row r="12" spans="1:39" x14ac:dyDescent="0.2">
      <c r="A12" s="43" t="s">
        <v>70</v>
      </c>
      <c r="B12" s="43" t="s">
        <v>53</v>
      </c>
      <c r="C12" s="43">
        <v>0</v>
      </c>
      <c r="D12" s="43">
        <v>0</v>
      </c>
      <c r="E12" s="43">
        <v>0</v>
      </c>
      <c r="F12" s="43">
        <v>0</v>
      </c>
      <c r="G12" s="43">
        <v>1</v>
      </c>
      <c r="H12" s="43">
        <v>0</v>
      </c>
      <c r="I12" s="43">
        <v>0</v>
      </c>
      <c r="J12" s="43">
        <v>0</v>
      </c>
      <c r="K12" s="43">
        <v>0</v>
      </c>
      <c r="L12" s="43">
        <v>1</v>
      </c>
      <c r="M12" s="43">
        <v>0</v>
      </c>
      <c r="N12" s="43">
        <v>2</v>
      </c>
      <c r="O12" s="43">
        <v>0</v>
      </c>
      <c r="P12" s="43">
        <v>0</v>
      </c>
      <c r="Q12" s="43">
        <v>1</v>
      </c>
      <c r="R12" s="43">
        <v>1</v>
      </c>
      <c r="S12" s="43">
        <v>1</v>
      </c>
      <c r="T12" s="43">
        <v>1</v>
      </c>
      <c r="U12" s="43">
        <v>1</v>
      </c>
      <c r="V12" s="43">
        <v>1</v>
      </c>
      <c r="W12" s="43">
        <v>1</v>
      </c>
      <c r="X12" s="43">
        <v>1</v>
      </c>
      <c r="Y12" s="43">
        <v>1</v>
      </c>
      <c r="Z12" s="43">
        <v>1</v>
      </c>
      <c r="AA12" s="43">
        <v>1</v>
      </c>
      <c r="AB12" s="43">
        <v>1</v>
      </c>
      <c r="AC12" s="43">
        <v>1</v>
      </c>
      <c r="AD12" s="43">
        <v>1</v>
      </c>
      <c r="AE12" s="43">
        <v>1</v>
      </c>
      <c r="AF12" s="43">
        <v>1</v>
      </c>
      <c r="AG12" s="43">
        <v>1</v>
      </c>
      <c r="AH12" s="43">
        <v>1</v>
      </c>
      <c r="AI12" s="43">
        <v>1</v>
      </c>
      <c r="AJ12" s="43">
        <v>1</v>
      </c>
      <c r="AK12" s="43">
        <v>0</v>
      </c>
      <c r="AL12" s="43">
        <v>0</v>
      </c>
      <c r="AM12" s="43">
        <v>0</v>
      </c>
    </row>
    <row r="13" spans="1:39" x14ac:dyDescent="0.2">
      <c r="A13" s="43" t="s">
        <v>72</v>
      </c>
      <c r="B13" s="43" t="s">
        <v>53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1</v>
      </c>
      <c r="R13" s="43">
        <v>1</v>
      </c>
      <c r="S13" s="43">
        <v>0</v>
      </c>
      <c r="T13" s="43">
        <v>1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1</v>
      </c>
      <c r="AB13" s="43">
        <v>1</v>
      </c>
      <c r="AC13" s="43">
        <v>0</v>
      </c>
      <c r="AD13" s="43">
        <v>1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</row>
    <row r="14" spans="1:39" x14ac:dyDescent="0.2">
      <c r="A14" s="43" t="s">
        <v>74</v>
      </c>
      <c r="B14" s="43" t="s">
        <v>53</v>
      </c>
      <c r="C14" s="43">
        <v>0</v>
      </c>
      <c r="D14" s="43">
        <v>0</v>
      </c>
      <c r="E14" s="43">
        <v>1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0.5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1</v>
      </c>
      <c r="W14" s="43">
        <v>0</v>
      </c>
      <c r="X14" s="43">
        <v>0</v>
      </c>
      <c r="Y14" s="43">
        <v>1</v>
      </c>
      <c r="Z14" s="43">
        <v>0</v>
      </c>
      <c r="AA14" s="43">
        <v>0</v>
      </c>
      <c r="AB14" s="43">
        <v>0</v>
      </c>
      <c r="AC14" s="43">
        <v>1</v>
      </c>
      <c r="AD14" s="43">
        <v>1</v>
      </c>
      <c r="AE14" s="43">
        <v>0</v>
      </c>
      <c r="AF14" s="43">
        <v>1</v>
      </c>
      <c r="AG14" s="43">
        <v>0</v>
      </c>
      <c r="AH14" s="43">
        <v>1</v>
      </c>
      <c r="AI14" s="43">
        <v>0</v>
      </c>
      <c r="AJ14" s="43">
        <v>0</v>
      </c>
      <c r="AK14" s="43">
        <v>1</v>
      </c>
      <c r="AL14" s="43">
        <v>0</v>
      </c>
      <c r="AM14" s="43">
        <v>0</v>
      </c>
    </row>
    <row r="15" spans="1:39" x14ac:dyDescent="0.2">
      <c r="A15" s="43" t="s">
        <v>76</v>
      </c>
      <c r="B15" s="43" t="s">
        <v>53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1</v>
      </c>
      <c r="O15" s="43">
        <v>0</v>
      </c>
      <c r="P15" s="43">
        <v>0</v>
      </c>
      <c r="Q15" s="43">
        <v>0</v>
      </c>
      <c r="R15" s="43">
        <v>0</v>
      </c>
      <c r="S15" s="43">
        <v>1</v>
      </c>
      <c r="T15" s="43">
        <v>0</v>
      </c>
      <c r="U15" s="43">
        <v>0</v>
      </c>
      <c r="V15" s="43">
        <v>1</v>
      </c>
      <c r="W15" s="43">
        <v>0</v>
      </c>
      <c r="X15" s="43">
        <v>0</v>
      </c>
      <c r="Y15" s="43">
        <v>0</v>
      </c>
      <c r="Z15" s="43">
        <v>1</v>
      </c>
      <c r="AA15" s="43">
        <v>0</v>
      </c>
      <c r="AB15" s="43">
        <v>0</v>
      </c>
      <c r="AC15" s="43">
        <v>1</v>
      </c>
      <c r="AD15" s="43">
        <v>0</v>
      </c>
      <c r="AE15" s="43">
        <v>1</v>
      </c>
      <c r="AF15" s="43">
        <v>0</v>
      </c>
      <c r="AG15" s="43">
        <v>0</v>
      </c>
      <c r="AH15" s="43">
        <v>0</v>
      </c>
      <c r="AI15" s="43">
        <v>0</v>
      </c>
      <c r="AJ15" s="43">
        <v>1</v>
      </c>
      <c r="AK15" s="43">
        <v>0</v>
      </c>
      <c r="AL15" s="43">
        <v>0</v>
      </c>
      <c r="AM15" s="43">
        <v>0</v>
      </c>
    </row>
    <row r="16" spans="1:39" x14ac:dyDescent="0.2">
      <c r="A16" s="43" t="s">
        <v>78</v>
      </c>
      <c r="B16" s="43" t="s">
        <v>53</v>
      </c>
      <c r="C16" s="43">
        <v>0</v>
      </c>
      <c r="D16" s="43">
        <v>0</v>
      </c>
      <c r="E16" s="43">
        <v>1.5</v>
      </c>
      <c r="F16" s="43">
        <v>0</v>
      </c>
      <c r="G16" s="43">
        <v>0</v>
      </c>
      <c r="H16" s="43">
        <v>1</v>
      </c>
      <c r="I16" s="43">
        <v>1</v>
      </c>
      <c r="J16" s="43">
        <v>1</v>
      </c>
      <c r="K16" s="43">
        <v>0</v>
      </c>
      <c r="L16" s="43">
        <v>1</v>
      </c>
      <c r="M16" s="43">
        <v>1</v>
      </c>
      <c r="N16" s="43">
        <v>1</v>
      </c>
      <c r="O16" s="43">
        <v>0</v>
      </c>
      <c r="P16" s="43">
        <v>0</v>
      </c>
      <c r="Q16" s="43">
        <v>0</v>
      </c>
      <c r="R16" s="43">
        <v>1</v>
      </c>
      <c r="S16" s="43">
        <v>1</v>
      </c>
      <c r="T16" s="43">
        <v>1</v>
      </c>
      <c r="U16" s="43">
        <v>1</v>
      </c>
      <c r="V16" s="43">
        <v>1</v>
      </c>
      <c r="W16" s="43">
        <v>1</v>
      </c>
      <c r="X16" s="43">
        <v>1</v>
      </c>
      <c r="Y16" s="43">
        <v>1</v>
      </c>
      <c r="Z16" s="43">
        <v>1</v>
      </c>
      <c r="AA16" s="43">
        <v>1</v>
      </c>
      <c r="AB16" s="43">
        <v>1</v>
      </c>
      <c r="AC16" s="43">
        <v>0</v>
      </c>
      <c r="AD16" s="43">
        <v>1</v>
      </c>
      <c r="AE16" s="43">
        <v>1</v>
      </c>
      <c r="AF16" s="43">
        <v>1</v>
      </c>
      <c r="AG16" s="43">
        <v>1</v>
      </c>
      <c r="AH16" s="43">
        <v>1</v>
      </c>
      <c r="AI16" s="43">
        <v>1</v>
      </c>
      <c r="AJ16" s="43">
        <v>1</v>
      </c>
      <c r="AK16" s="43">
        <v>1</v>
      </c>
      <c r="AL16" s="43">
        <v>1</v>
      </c>
      <c r="AM16" s="43">
        <v>0</v>
      </c>
    </row>
    <row r="17" spans="1:39" x14ac:dyDescent="0.2">
      <c r="A17" s="43" t="s">
        <v>80</v>
      </c>
      <c r="B17" s="43" t="s">
        <v>53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1</v>
      </c>
      <c r="U17" s="43">
        <v>1</v>
      </c>
      <c r="V17" s="43">
        <v>1</v>
      </c>
      <c r="W17" s="43">
        <v>1</v>
      </c>
      <c r="X17" s="43">
        <v>0</v>
      </c>
      <c r="Y17" s="43">
        <v>0</v>
      </c>
      <c r="Z17" s="43">
        <v>1</v>
      </c>
      <c r="AA17" s="43">
        <v>0</v>
      </c>
      <c r="AB17" s="43">
        <v>0</v>
      </c>
      <c r="AC17" s="43">
        <v>0</v>
      </c>
      <c r="AD17" s="43">
        <v>1</v>
      </c>
      <c r="AE17" s="43">
        <v>0</v>
      </c>
      <c r="AF17" s="43">
        <v>0</v>
      </c>
      <c r="AG17" s="43">
        <v>0</v>
      </c>
      <c r="AH17" s="43">
        <v>1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</row>
    <row r="18" spans="1:39" x14ac:dyDescent="0.2">
      <c r="A18" s="43" t="s">
        <v>82</v>
      </c>
      <c r="B18" s="43" t="s">
        <v>53</v>
      </c>
      <c r="C18" s="43">
        <v>0</v>
      </c>
      <c r="D18" s="43">
        <v>1</v>
      </c>
      <c r="E18" s="43">
        <v>1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1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1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1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1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</row>
    <row r="19" spans="1:39" x14ac:dyDescent="0.2">
      <c r="A19" s="43" t="s">
        <v>84</v>
      </c>
      <c r="B19" s="43" t="s">
        <v>53</v>
      </c>
      <c r="C19" s="43">
        <v>0</v>
      </c>
      <c r="D19" s="43">
        <v>2</v>
      </c>
      <c r="E19" s="43">
        <v>1</v>
      </c>
      <c r="F19" s="43">
        <v>2</v>
      </c>
      <c r="G19" s="43">
        <v>1</v>
      </c>
      <c r="H19" s="43">
        <v>2</v>
      </c>
      <c r="I19" s="43">
        <v>2</v>
      </c>
      <c r="J19" s="43">
        <v>0</v>
      </c>
      <c r="K19" s="43">
        <v>2</v>
      </c>
      <c r="L19" s="43">
        <v>2</v>
      </c>
      <c r="M19" s="43">
        <v>0</v>
      </c>
      <c r="N19" s="43">
        <v>2</v>
      </c>
      <c r="O19" s="43">
        <v>0</v>
      </c>
      <c r="P19" s="43">
        <v>0</v>
      </c>
      <c r="Q19" s="43">
        <v>1</v>
      </c>
      <c r="R19" s="43">
        <v>1</v>
      </c>
      <c r="S19" s="43">
        <v>0</v>
      </c>
      <c r="T19" s="43">
        <v>1</v>
      </c>
      <c r="U19" s="43">
        <v>1</v>
      </c>
      <c r="V19" s="43">
        <v>1</v>
      </c>
      <c r="W19" s="43">
        <v>1</v>
      </c>
      <c r="X19" s="43">
        <v>1</v>
      </c>
      <c r="Y19" s="43">
        <v>1</v>
      </c>
      <c r="Z19" s="43">
        <v>1</v>
      </c>
      <c r="AA19" s="43">
        <v>1</v>
      </c>
      <c r="AB19" s="43">
        <v>1</v>
      </c>
      <c r="AC19" s="43">
        <v>1</v>
      </c>
      <c r="AD19" s="43">
        <v>1</v>
      </c>
      <c r="AE19" s="43">
        <v>1</v>
      </c>
      <c r="AF19" s="43">
        <v>1</v>
      </c>
      <c r="AG19" s="43">
        <v>1</v>
      </c>
      <c r="AH19" s="43">
        <v>1</v>
      </c>
      <c r="AI19" s="43">
        <v>1</v>
      </c>
      <c r="AJ19" s="43">
        <v>1</v>
      </c>
      <c r="AK19" s="43">
        <v>1</v>
      </c>
      <c r="AL19" s="43">
        <v>0</v>
      </c>
      <c r="AM19" s="43">
        <v>0</v>
      </c>
    </row>
    <row r="20" spans="1:39" x14ac:dyDescent="0.2">
      <c r="A20" s="43" t="s">
        <v>86</v>
      </c>
      <c r="B20" s="43" t="s">
        <v>53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1</v>
      </c>
      <c r="I20" s="43">
        <v>0</v>
      </c>
      <c r="J20" s="43">
        <v>0</v>
      </c>
      <c r="K20" s="43">
        <v>1</v>
      </c>
      <c r="L20" s="43">
        <v>0</v>
      </c>
      <c r="M20" s="43">
        <v>2</v>
      </c>
      <c r="N20" s="43">
        <v>2</v>
      </c>
      <c r="O20" s="43">
        <v>0</v>
      </c>
      <c r="P20" s="43">
        <v>1</v>
      </c>
      <c r="Q20" s="43">
        <v>0</v>
      </c>
      <c r="R20" s="43">
        <v>0</v>
      </c>
      <c r="S20" s="43">
        <v>0</v>
      </c>
      <c r="T20" s="43">
        <v>1</v>
      </c>
      <c r="U20" s="43">
        <v>0</v>
      </c>
      <c r="V20" s="43">
        <v>1</v>
      </c>
      <c r="W20" s="43">
        <v>0</v>
      </c>
      <c r="X20" s="43">
        <v>0</v>
      </c>
      <c r="Y20" s="43">
        <v>0</v>
      </c>
      <c r="Z20" s="43">
        <v>1</v>
      </c>
      <c r="AA20" s="43">
        <v>1</v>
      </c>
      <c r="AB20" s="43">
        <v>1</v>
      </c>
      <c r="AC20" s="43">
        <v>1</v>
      </c>
      <c r="AD20" s="43">
        <v>1</v>
      </c>
      <c r="AE20" s="43">
        <v>1</v>
      </c>
      <c r="AF20" s="43">
        <v>1</v>
      </c>
      <c r="AG20" s="43">
        <v>1</v>
      </c>
      <c r="AH20" s="43">
        <v>1</v>
      </c>
      <c r="AI20" s="43">
        <v>1</v>
      </c>
      <c r="AJ20" s="43">
        <v>1</v>
      </c>
      <c r="AK20" s="43">
        <v>1</v>
      </c>
      <c r="AL20" s="43">
        <v>0</v>
      </c>
      <c r="AM20" s="43">
        <v>0</v>
      </c>
    </row>
    <row r="21" spans="1:39" x14ac:dyDescent="0.2">
      <c r="A21" s="43" t="s">
        <v>88</v>
      </c>
      <c r="B21" s="43" t="s">
        <v>53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2</v>
      </c>
      <c r="N21" s="43">
        <v>0</v>
      </c>
      <c r="O21" s="43">
        <v>0</v>
      </c>
      <c r="P21" s="43">
        <v>0</v>
      </c>
      <c r="Q21" s="43">
        <v>1</v>
      </c>
      <c r="R21" s="43">
        <v>0</v>
      </c>
      <c r="S21" s="43">
        <v>0</v>
      </c>
      <c r="T21" s="43">
        <v>0</v>
      </c>
      <c r="U21" s="43">
        <v>0</v>
      </c>
      <c r="V21" s="43">
        <v>1</v>
      </c>
      <c r="W21" s="43">
        <v>0</v>
      </c>
      <c r="X21" s="43">
        <v>1</v>
      </c>
      <c r="Y21" s="43">
        <v>0</v>
      </c>
      <c r="Z21" s="43">
        <v>1</v>
      </c>
      <c r="AA21" s="43">
        <v>0</v>
      </c>
      <c r="AB21" s="43">
        <v>1</v>
      </c>
      <c r="AC21" s="43">
        <v>0</v>
      </c>
      <c r="AD21" s="43">
        <v>0</v>
      </c>
      <c r="AE21" s="43">
        <v>0</v>
      </c>
      <c r="AF21" s="43">
        <v>0</v>
      </c>
      <c r="AG21" s="43">
        <v>1</v>
      </c>
      <c r="AH21" s="43">
        <v>0</v>
      </c>
      <c r="AI21" s="43">
        <v>0</v>
      </c>
      <c r="AJ21" s="43">
        <v>0</v>
      </c>
      <c r="AK21" s="43">
        <v>1</v>
      </c>
      <c r="AL21" s="43">
        <v>0</v>
      </c>
      <c r="AM21" s="43">
        <v>0</v>
      </c>
    </row>
    <row r="22" spans="1:39" x14ac:dyDescent="0.2">
      <c r="A22" s="43" t="s">
        <v>90</v>
      </c>
      <c r="B22" s="43" t="s">
        <v>53</v>
      </c>
      <c r="C22" s="43">
        <v>0</v>
      </c>
      <c r="D22" s="43">
        <v>0</v>
      </c>
      <c r="E22" s="43">
        <v>1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1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1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1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1</v>
      </c>
      <c r="AG22" s="43">
        <v>1</v>
      </c>
      <c r="AH22" s="43">
        <v>0</v>
      </c>
      <c r="AI22" s="43">
        <v>0</v>
      </c>
      <c r="AJ22" s="43">
        <v>1</v>
      </c>
      <c r="AK22" s="43">
        <v>0</v>
      </c>
      <c r="AL22" s="43">
        <v>0</v>
      </c>
      <c r="AM22" s="43">
        <v>0</v>
      </c>
    </row>
    <row r="23" spans="1:39" x14ac:dyDescent="0.2">
      <c r="A23" s="43" t="s">
        <v>92</v>
      </c>
      <c r="B23" s="43" t="s">
        <v>53</v>
      </c>
      <c r="C23" s="43">
        <v>0</v>
      </c>
      <c r="D23" s="43">
        <v>0</v>
      </c>
      <c r="E23" s="43">
        <v>0</v>
      </c>
      <c r="F23" s="43">
        <v>0</v>
      </c>
      <c r="G23" s="43">
        <v>1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1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1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1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</row>
    <row r="24" spans="1:39" x14ac:dyDescent="0.2">
      <c r="A24" s="43" t="s">
        <v>94</v>
      </c>
      <c r="B24" s="43" t="s">
        <v>53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1</v>
      </c>
      <c r="M24" s="43">
        <v>1</v>
      </c>
      <c r="N24" s="43">
        <v>0</v>
      </c>
      <c r="O24" s="43">
        <v>0</v>
      </c>
      <c r="P24" s="43">
        <v>0</v>
      </c>
      <c r="Q24" s="43">
        <v>0</v>
      </c>
      <c r="R24" s="43">
        <v>1</v>
      </c>
      <c r="S24" s="43">
        <v>0</v>
      </c>
      <c r="T24" s="43">
        <v>0</v>
      </c>
      <c r="U24" s="43">
        <v>0</v>
      </c>
      <c r="V24" s="43">
        <v>1</v>
      </c>
      <c r="W24" s="43">
        <v>0</v>
      </c>
      <c r="X24" s="43">
        <v>1</v>
      </c>
      <c r="Y24" s="43">
        <v>0</v>
      </c>
      <c r="Z24" s="43">
        <v>1</v>
      </c>
      <c r="AA24" s="43">
        <v>1</v>
      </c>
      <c r="AB24" s="43">
        <v>1</v>
      </c>
      <c r="AC24" s="43">
        <v>1</v>
      </c>
      <c r="AD24" s="43">
        <v>1</v>
      </c>
      <c r="AE24" s="43">
        <v>1</v>
      </c>
      <c r="AF24" s="43">
        <v>1</v>
      </c>
      <c r="AG24" s="43">
        <v>1</v>
      </c>
      <c r="AH24" s="43">
        <v>1</v>
      </c>
      <c r="AI24" s="43">
        <v>1</v>
      </c>
      <c r="AJ24" s="43">
        <v>1</v>
      </c>
      <c r="AK24" s="43">
        <v>0</v>
      </c>
      <c r="AL24" s="43">
        <v>1</v>
      </c>
      <c r="AM24" s="43">
        <v>0</v>
      </c>
    </row>
    <row r="25" spans="1:39" x14ac:dyDescent="0.2">
      <c r="A25" s="43" t="s">
        <v>96</v>
      </c>
      <c r="B25" s="43" t="s">
        <v>53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1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1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1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</row>
    <row r="26" spans="1:39" x14ac:dyDescent="0.2">
      <c r="A26" s="43" t="s">
        <v>98</v>
      </c>
      <c r="B26" s="43" t="s">
        <v>53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1</v>
      </c>
      <c r="L26" s="43">
        <v>1</v>
      </c>
      <c r="M26" s="43">
        <v>0</v>
      </c>
      <c r="N26" s="43">
        <v>1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1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</row>
    <row r="27" spans="1:39" x14ac:dyDescent="0.2">
      <c r="A27" s="43" t="s">
        <v>100</v>
      </c>
      <c r="B27" s="43" t="s">
        <v>53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1</v>
      </c>
      <c r="I27" s="43">
        <v>0</v>
      </c>
      <c r="J27" s="43">
        <v>1</v>
      </c>
      <c r="K27" s="43">
        <v>0</v>
      </c>
      <c r="L27" s="43">
        <v>0</v>
      </c>
      <c r="M27" s="43">
        <v>0</v>
      </c>
      <c r="N27" s="43">
        <v>1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1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1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1</v>
      </c>
      <c r="AL27" s="43">
        <v>0</v>
      </c>
      <c r="AM27" s="43">
        <v>0</v>
      </c>
    </row>
    <row r="28" spans="1:39" x14ac:dyDescent="0.2">
      <c r="A28" s="43" t="s">
        <v>102</v>
      </c>
      <c r="B28" s="43" t="s">
        <v>53</v>
      </c>
      <c r="C28" s="43">
        <v>0</v>
      </c>
      <c r="D28" s="43">
        <v>0</v>
      </c>
      <c r="E28" s="43">
        <v>0</v>
      </c>
      <c r="F28" s="43">
        <v>2</v>
      </c>
      <c r="G28" s="43">
        <v>0</v>
      </c>
      <c r="H28" s="43">
        <v>1</v>
      </c>
      <c r="I28" s="43">
        <v>2</v>
      </c>
      <c r="J28" s="43">
        <v>0</v>
      </c>
      <c r="K28" s="43">
        <v>2</v>
      </c>
      <c r="L28" s="43">
        <v>0</v>
      </c>
      <c r="M28" s="43">
        <v>2</v>
      </c>
      <c r="N28" s="43">
        <v>1</v>
      </c>
      <c r="O28" s="43">
        <v>0</v>
      </c>
      <c r="P28" s="43">
        <v>0</v>
      </c>
      <c r="Q28" s="43">
        <v>1</v>
      </c>
      <c r="R28" s="43">
        <v>0</v>
      </c>
      <c r="S28" s="43">
        <v>1</v>
      </c>
      <c r="T28" s="43">
        <v>0</v>
      </c>
      <c r="U28" s="43">
        <v>0</v>
      </c>
      <c r="V28" s="43">
        <v>1</v>
      </c>
      <c r="W28" s="43">
        <v>0</v>
      </c>
      <c r="X28" s="43">
        <v>0</v>
      </c>
      <c r="Y28" s="43">
        <v>1</v>
      </c>
      <c r="Z28" s="43">
        <v>0</v>
      </c>
      <c r="AA28" s="43">
        <v>0</v>
      </c>
      <c r="AB28" s="43">
        <v>1</v>
      </c>
      <c r="AC28" s="43">
        <v>0</v>
      </c>
      <c r="AD28" s="43">
        <v>1</v>
      </c>
      <c r="AE28" s="43">
        <v>0</v>
      </c>
      <c r="AF28" s="43">
        <v>1</v>
      </c>
      <c r="AG28" s="43">
        <v>0</v>
      </c>
      <c r="AH28" s="43">
        <v>1</v>
      </c>
      <c r="AI28" s="43">
        <v>1</v>
      </c>
      <c r="AJ28" s="43">
        <v>1</v>
      </c>
      <c r="AK28" s="43">
        <v>0</v>
      </c>
      <c r="AL28" s="43">
        <v>0</v>
      </c>
      <c r="AM28" s="43">
        <v>0</v>
      </c>
    </row>
    <row r="29" spans="1:39" x14ac:dyDescent="0.2">
      <c r="A29" s="43" t="s">
        <v>104</v>
      </c>
      <c r="B29" s="43" t="s">
        <v>53</v>
      </c>
      <c r="C29" s="43">
        <v>0</v>
      </c>
      <c r="D29" s="43">
        <v>1.5</v>
      </c>
      <c r="E29" s="43">
        <v>1</v>
      </c>
      <c r="F29" s="43">
        <v>1.5</v>
      </c>
      <c r="G29" s="43">
        <v>1</v>
      </c>
      <c r="H29" s="43">
        <v>1</v>
      </c>
      <c r="I29" s="43">
        <v>1.5</v>
      </c>
      <c r="J29" s="43">
        <v>1.5</v>
      </c>
      <c r="K29" s="43">
        <v>2</v>
      </c>
      <c r="L29" s="43">
        <v>2</v>
      </c>
      <c r="M29" s="43">
        <v>2</v>
      </c>
      <c r="N29" s="43">
        <v>2</v>
      </c>
      <c r="O29" s="43">
        <v>0</v>
      </c>
      <c r="P29" s="43">
        <v>0</v>
      </c>
      <c r="Q29" s="43">
        <v>0</v>
      </c>
      <c r="R29" s="43">
        <v>1</v>
      </c>
      <c r="S29" s="43">
        <v>0</v>
      </c>
      <c r="T29" s="43">
        <v>0</v>
      </c>
      <c r="U29" s="43">
        <v>1</v>
      </c>
      <c r="V29" s="43">
        <v>0</v>
      </c>
      <c r="W29" s="43">
        <v>0</v>
      </c>
      <c r="X29" s="43">
        <v>1</v>
      </c>
      <c r="Y29" s="43">
        <v>0</v>
      </c>
      <c r="Z29" s="43">
        <v>1</v>
      </c>
      <c r="AA29" s="43">
        <v>1</v>
      </c>
      <c r="AB29" s="43">
        <v>0</v>
      </c>
      <c r="AC29" s="43">
        <v>1</v>
      </c>
      <c r="AD29" s="43">
        <v>1</v>
      </c>
      <c r="AE29" s="43">
        <v>1</v>
      </c>
      <c r="AF29" s="43">
        <v>1</v>
      </c>
      <c r="AG29" s="43">
        <v>1</v>
      </c>
      <c r="AH29" s="43">
        <v>1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</row>
    <row r="30" spans="1:39" x14ac:dyDescent="0.2">
      <c r="A30" s="43" t="s">
        <v>106</v>
      </c>
      <c r="B30" s="43" t="s">
        <v>53</v>
      </c>
      <c r="C30" s="43">
        <v>0</v>
      </c>
      <c r="D30" s="43">
        <v>0</v>
      </c>
      <c r="E30" s="43">
        <v>1</v>
      </c>
      <c r="F30" s="43">
        <v>1</v>
      </c>
      <c r="G30" s="43">
        <v>1</v>
      </c>
      <c r="H30" s="43">
        <v>2</v>
      </c>
      <c r="I30" s="43">
        <v>1</v>
      </c>
      <c r="J30" s="43">
        <v>1</v>
      </c>
      <c r="K30" s="43">
        <v>1</v>
      </c>
      <c r="L30" s="43">
        <v>1</v>
      </c>
      <c r="M30" s="43">
        <v>0</v>
      </c>
      <c r="N30" s="43">
        <v>2</v>
      </c>
      <c r="O30" s="43">
        <v>0</v>
      </c>
      <c r="P30" s="43">
        <v>0</v>
      </c>
      <c r="Q30" s="43">
        <v>0</v>
      </c>
      <c r="R30" s="43">
        <v>1</v>
      </c>
      <c r="S30" s="43">
        <v>1</v>
      </c>
      <c r="T30" s="43">
        <v>1</v>
      </c>
      <c r="U30" s="43">
        <v>1</v>
      </c>
      <c r="V30" s="43">
        <v>1</v>
      </c>
      <c r="W30" s="43">
        <v>1</v>
      </c>
      <c r="X30" s="43">
        <v>1</v>
      </c>
      <c r="Y30" s="43">
        <v>1</v>
      </c>
      <c r="Z30" s="43">
        <v>1</v>
      </c>
      <c r="AA30" s="43">
        <v>1</v>
      </c>
      <c r="AB30" s="43">
        <v>1</v>
      </c>
      <c r="AC30" s="43">
        <v>1</v>
      </c>
      <c r="AD30" s="43">
        <v>1</v>
      </c>
      <c r="AE30" s="43">
        <v>1</v>
      </c>
      <c r="AF30" s="43">
        <v>1</v>
      </c>
      <c r="AG30" s="43">
        <v>1</v>
      </c>
      <c r="AH30" s="43">
        <v>1</v>
      </c>
      <c r="AI30" s="43">
        <v>1</v>
      </c>
      <c r="AJ30" s="43">
        <v>1</v>
      </c>
      <c r="AK30" s="43">
        <v>1</v>
      </c>
      <c r="AL30" s="43">
        <v>0</v>
      </c>
      <c r="AM30" s="43">
        <v>0</v>
      </c>
    </row>
    <row r="31" spans="1:39" x14ac:dyDescent="0.2">
      <c r="A31" s="43" t="s">
        <v>108</v>
      </c>
      <c r="B31" s="43" t="s">
        <v>53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1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1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1</v>
      </c>
      <c r="AG31" s="43">
        <v>1</v>
      </c>
      <c r="AH31" s="43">
        <v>0</v>
      </c>
      <c r="AI31" s="43">
        <v>0</v>
      </c>
      <c r="AJ31" s="43">
        <v>0</v>
      </c>
      <c r="AK31" s="43">
        <v>0</v>
      </c>
      <c r="AL31" s="43">
        <v>1</v>
      </c>
      <c r="AM31" s="43">
        <v>0</v>
      </c>
    </row>
    <row r="32" spans="1:39" x14ac:dyDescent="0.2">
      <c r="A32" s="43" t="s">
        <v>110</v>
      </c>
      <c r="B32" s="43" t="s">
        <v>53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1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1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</row>
    <row r="33" spans="1:39" x14ac:dyDescent="0.2">
      <c r="A33" s="43" t="s">
        <v>112</v>
      </c>
      <c r="B33" s="43" t="s">
        <v>53</v>
      </c>
      <c r="C33" s="43">
        <v>0</v>
      </c>
      <c r="D33" s="43">
        <v>1</v>
      </c>
      <c r="E33" s="43">
        <v>0</v>
      </c>
      <c r="F33" s="43">
        <v>0</v>
      </c>
      <c r="G33" s="43">
        <v>0</v>
      </c>
      <c r="H33" s="43">
        <v>0.5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1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1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</row>
    <row r="34" spans="1:39" x14ac:dyDescent="0.2">
      <c r="A34" s="43" t="s">
        <v>114</v>
      </c>
      <c r="B34" s="43" t="s">
        <v>53</v>
      </c>
      <c r="C34" s="43">
        <v>0</v>
      </c>
      <c r="D34" s="43">
        <v>0</v>
      </c>
      <c r="E34" s="43">
        <v>2</v>
      </c>
      <c r="F34" s="43">
        <v>1</v>
      </c>
      <c r="G34" s="43">
        <v>1</v>
      </c>
      <c r="H34" s="43">
        <v>1</v>
      </c>
      <c r="I34" s="43">
        <v>2</v>
      </c>
      <c r="J34" s="43">
        <v>1</v>
      </c>
      <c r="K34" s="43">
        <v>2</v>
      </c>
      <c r="L34" s="43">
        <v>2</v>
      </c>
      <c r="M34" s="43">
        <v>1</v>
      </c>
      <c r="N34" s="43">
        <v>1</v>
      </c>
      <c r="O34" s="43">
        <v>0</v>
      </c>
      <c r="P34" s="43">
        <v>0</v>
      </c>
      <c r="Q34" s="43">
        <v>1</v>
      </c>
      <c r="R34" s="43">
        <v>1</v>
      </c>
      <c r="S34" s="43">
        <v>1</v>
      </c>
      <c r="T34" s="43">
        <v>1</v>
      </c>
      <c r="U34" s="43">
        <v>1</v>
      </c>
      <c r="V34" s="43">
        <v>1</v>
      </c>
      <c r="W34" s="43">
        <v>1</v>
      </c>
      <c r="X34" s="43">
        <v>1</v>
      </c>
      <c r="Y34" s="43">
        <v>1</v>
      </c>
      <c r="Z34" s="43">
        <v>1</v>
      </c>
      <c r="AA34" s="43">
        <v>1</v>
      </c>
      <c r="AB34" s="43">
        <v>1</v>
      </c>
      <c r="AC34" s="43">
        <v>1</v>
      </c>
      <c r="AD34" s="43">
        <v>1</v>
      </c>
      <c r="AE34" s="43">
        <v>1</v>
      </c>
      <c r="AF34" s="43">
        <v>1</v>
      </c>
      <c r="AG34" s="43">
        <v>1</v>
      </c>
      <c r="AH34" s="43">
        <v>1</v>
      </c>
      <c r="AI34" s="43">
        <v>1</v>
      </c>
      <c r="AJ34" s="43">
        <v>1</v>
      </c>
      <c r="AK34" s="43">
        <v>1</v>
      </c>
      <c r="AL34" s="43">
        <v>0</v>
      </c>
      <c r="AM34" s="43">
        <v>0</v>
      </c>
    </row>
    <row r="35" spans="1:39" x14ac:dyDescent="0.2">
      <c r="A35" s="43" t="s">
        <v>116</v>
      </c>
      <c r="B35" s="43" t="s">
        <v>53</v>
      </c>
      <c r="C35" s="43">
        <v>0</v>
      </c>
      <c r="D35" s="43">
        <v>2</v>
      </c>
      <c r="E35" s="43">
        <v>2</v>
      </c>
      <c r="F35" s="43">
        <v>2</v>
      </c>
      <c r="G35" s="43">
        <v>2</v>
      </c>
      <c r="H35" s="43">
        <v>0</v>
      </c>
      <c r="I35" s="43">
        <v>0</v>
      </c>
      <c r="J35" s="43">
        <v>0</v>
      </c>
      <c r="K35" s="43">
        <v>1</v>
      </c>
      <c r="L35" s="43">
        <v>1</v>
      </c>
      <c r="M35" s="43">
        <v>0</v>
      </c>
      <c r="N35" s="43">
        <v>1</v>
      </c>
      <c r="O35" s="43">
        <v>0</v>
      </c>
      <c r="P35" s="43">
        <v>0</v>
      </c>
      <c r="Q35" s="43">
        <v>1</v>
      </c>
      <c r="R35" s="43">
        <v>0</v>
      </c>
      <c r="S35" s="43">
        <v>0</v>
      </c>
      <c r="T35" s="43">
        <v>0</v>
      </c>
      <c r="U35" s="43">
        <v>1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1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1</v>
      </c>
      <c r="AI35" s="43">
        <v>0</v>
      </c>
      <c r="AJ35" s="43">
        <v>0</v>
      </c>
      <c r="AK35" s="43">
        <v>1</v>
      </c>
      <c r="AL35" s="43">
        <v>0</v>
      </c>
      <c r="AM35" s="43">
        <v>0</v>
      </c>
    </row>
    <row r="36" spans="1:39" x14ac:dyDescent="0.2">
      <c r="A36" s="43" t="s">
        <v>118</v>
      </c>
      <c r="B36" s="43" t="s">
        <v>53</v>
      </c>
      <c r="C36" s="43">
        <v>0</v>
      </c>
      <c r="D36" s="43">
        <v>0</v>
      </c>
      <c r="E36" s="43">
        <v>0</v>
      </c>
      <c r="F36" s="43">
        <v>0</v>
      </c>
      <c r="G36" s="43">
        <v>1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1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1</v>
      </c>
      <c r="X36" s="43">
        <v>0</v>
      </c>
      <c r="Y36" s="43">
        <v>0</v>
      </c>
      <c r="Z36" s="43">
        <v>0</v>
      </c>
      <c r="AA36" s="43">
        <v>1</v>
      </c>
      <c r="AB36" s="43">
        <v>1</v>
      </c>
      <c r="AC36" s="43">
        <v>1</v>
      </c>
      <c r="AD36" s="43">
        <v>1</v>
      </c>
      <c r="AE36" s="43">
        <v>1</v>
      </c>
      <c r="AF36" s="43">
        <v>1</v>
      </c>
      <c r="AG36" s="43">
        <v>1</v>
      </c>
      <c r="AH36" s="43">
        <v>1</v>
      </c>
      <c r="AI36" s="43">
        <v>1</v>
      </c>
      <c r="AJ36" s="43">
        <v>1</v>
      </c>
      <c r="AK36" s="43">
        <v>0</v>
      </c>
      <c r="AL36" s="43">
        <v>0</v>
      </c>
      <c r="AM36" s="43">
        <v>0</v>
      </c>
    </row>
    <row r="37" spans="1:39" x14ac:dyDescent="0.2">
      <c r="A37" s="43" t="s">
        <v>120</v>
      </c>
      <c r="B37" s="43" t="s">
        <v>53</v>
      </c>
      <c r="C37" s="43">
        <v>0</v>
      </c>
      <c r="D37" s="43">
        <v>0</v>
      </c>
      <c r="E37" s="43">
        <v>1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1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1</v>
      </c>
      <c r="AF37" s="43">
        <v>1</v>
      </c>
      <c r="AG37" s="43">
        <v>0</v>
      </c>
      <c r="AH37" s="43">
        <v>0</v>
      </c>
      <c r="AI37" s="43">
        <v>0</v>
      </c>
      <c r="AJ37" s="43">
        <v>1</v>
      </c>
      <c r="AK37" s="43">
        <v>0</v>
      </c>
      <c r="AL37" s="43">
        <v>0</v>
      </c>
      <c r="AM37" s="43">
        <v>0</v>
      </c>
    </row>
    <row r="38" spans="1:39" x14ac:dyDescent="0.2">
      <c r="A38" s="43" t="s">
        <v>122</v>
      </c>
      <c r="B38" s="43" t="s">
        <v>53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1</v>
      </c>
      <c r="V38" s="43">
        <v>0</v>
      </c>
      <c r="W38" s="43">
        <v>0</v>
      </c>
      <c r="X38" s="43">
        <v>0</v>
      </c>
      <c r="Y38" s="43">
        <v>0</v>
      </c>
      <c r="Z38" s="43">
        <v>1</v>
      </c>
      <c r="AA38" s="43">
        <v>1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</row>
    <row r="39" spans="1:39" x14ac:dyDescent="0.2">
      <c r="A39" s="43" t="s">
        <v>124</v>
      </c>
      <c r="B39" s="43" t="s">
        <v>53</v>
      </c>
      <c r="C39" s="43">
        <v>0</v>
      </c>
      <c r="D39" s="43">
        <v>0</v>
      </c>
      <c r="E39" s="43">
        <v>2</v>
      </c>
      <c r="F39" s="43">
        <v>0</v>
      </c>
      <c r="G39" s="43">
        <v>0</v>
      </c>
      <c r="H39" s="43">
        <v>2</v>
      </c>
      <c r="I39" s="43">
        <v>0</v>
      </c>
      <c r="J39" s="43">
        <v>0</v>
      </c>
      <c r="K39" s="43">
        <v>2</v>
      </c>
      <c r="L39" s="43">
        <v>0</v>
      </c>
      <c r="M39" s="43">
        <v>0</v>
      </c>
      <c r="N39" s="43">
        <v>1</v>
      </c>
      <c r="O39" s="43">
        <v>0</v>
      </c>
      <c r="P39" s="43">
        <v>0</v>
      </c>
      <c r="Q39" s="43">
        <v>0</v>
      </c>
      <c r="R39" s="43">
        <v>0</v>
      </c>
      <c r="S39" s="43">
        <v>1</v>
      </c>
      <c r="T39" s="43">
        <v>1</v>
      </c>
      <c r="U39" s="43">
        <v>1</v>
      </c>
      <c r="V39" s="43">
        <v>1</v>
      </c>
      <c r="W39" s="43">
        <v>1</v>
      </c>
      <c r="X39" s="43">
        <v>1</v>
      </c>
      <c r="Y39" s="43">
        <v>1</v>
      </c>
      <c r="Z39" s="43">
        <v>1</v>
      </c>
      <c r="AA39" s="43">
        <v>1</v>
      </c>
      <c r="AB39" s="43">
        <v>1</v>
      </c>
      <c r="AC39" s="43">
        <v>1</v>
      </c>
      <c r="AD39" s="43">
        <v>1</v>
      </c>
      <c r="AE39" s="43">
        <v>1</v>
      </c>
      <c r="AF39" s="43">
        <v>1</v>
      </c>
      <c r="AG39" s="43">
        <v>1</v>
      </c>
      <c r="AH39" s="43">
        <v>1</v>
      </c>
      <c r="AI39" s="43">
        <v>1</v>
      </c>
      <c r="AJ39" s="43">
        <v>1</v>
      </c>
      <c r="AK39" s="43">
        <v>1</v>
      </c>
      <c r="AL39" s="43">
        <v>0</v>
      </c>
      <c r="AM39" s="43">
        <v>0</v>
      </c>
    </row>
    <row r="40" spans="1:39" x14ac:dyDescent="0.2">
      <c r="A40" s="43" t="s">
        <v>126</v>
      </c>
      <c r="B40" s="43" t="s">
        <v>53</v>
      </c>
      <c r="C40" s="43">
        <v>0</v>
      </c>
      <c r="D40" s="43">
        <v>0</v>
      </c>
      <c r="E40" s="43">
        <v>0</v>
      </c>
      <c r="F40" s="43">
        <v>1.5</v>
      </c>
      <c r="G40" s="43">
        <v>0.5</v>
      </c>
      <c r="H40" s="43">
        <v>0.5</v>
      </c>
      <c r="I40" s="43">
        <v>0.5</v>
      </c>
      <c r="J40" s="43">
        <v>0.5</v>
      </c>
      <c r="K40" s="43">
        <v>0.5</v>
      </c>
      <c r="L40" s="43">
        <v>0.5</v>
      </c>
      <c r="M40" s="43">
        <v>2</v>
      </c>
      <c r="N40" s="43">
        <v>1</v>
      </c>
      <c r="O40" s="43">
        <v>0</v>
      </c>
      <c r="P40" s="43">
        <v>0</v>
      </c>
      <c r="Q40" s="43">
        <v>1</v>
      </c>
      <c r="R40" s="43">
        <v>1</v>
      </c>
      <c r="S40" s="43">
        <v>1</v>
      </c>
      <c r="T40" s="43">
        <v>0</v>
      </c>
      <c r="U40" s="43">
        <v>0</v>
      </c>
      <c r="V40" s="43">
        <v>1</v>
      </c>
      <c r="W40" s="43">
        <v>1</v>
      </c>
      <c r="X40" s="43">
        <v>1</v>
      </c>
      <c r="Y40" s="43">
        <v>1</v>
      </c>
      <c r="Z40" s="43">
        <v>1</v>
      </c>
      <c r="AA40" s="43">
        <v>1</v>
      </c>
      <c r="AB40" s="43">
        <v>1</v>
      </c>
      <c r="AC40" s="43">
        <v>1</v>
      </c>
      <c r="AD40" s="43">
        <v>1</v>
      </c>
      <c r="AE40" s="43">
        <v>1</v>
      </c>
      <c r="AF40" s="43">
        <v>1</v>
      </c>
      <c r="AG40" s="43">
        <v>1</v>
      </c>
      <c r="AH40" s="43">
        <v>1</v>
      </c>
      <c r="AI40" s="43">
        <v>1</v>
      </c>
      <c r="AJ40" s="43">
        <v>1</v>
      </c>
      <c r="AK40" s="43">
        <v>0</v>
      </c>
      <c r="AL40" s="43">
        <v>0</v>
      </c>
      <c r="AM40" s="43">
        <v>0</v>
      </c>
    </row>
    <row r="41" spans="1:39" x14ac:dyDescent="0.2">
      <c r="A41" s="43" t="s">
        <v>128</v>
      </c>
      <c r="B41" s="43" t="s">
        <v>53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1</v>
      </c>
      <c r="J41" s="43">
        <v>1</v>
      </c>
      <c r="K41" s="43">
        <v>0</v>
      </c>
      <c r="L41" s="43">
        <v>0</v>
      </c>
      <c r="M41" s="43">
        <v>0</v>
      </c>
      <c r="N41" s="43">
        <v>1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1</v>
      </c>
      <c r="X41" s="43">
        <v>0</v>
      </c>
      <c r="Y41" s="43">
        <v>0</v>
      </c>
      <c r="Z41" s="43">
        <v>0</v>
      </c>
      <c r="AA41" s="43">
        <v>1</v>
      </c>
      <c r="AB41" s="43">
        <v>0</v>
      </c>
      <c r="AC41" s="43">
        <v>1</v>
      </c>
      <c r="AD41" s="43">
        <v>0</v>
      </c>
      <c r="AE41" s="43">
        <v>1</v>
      </c>
      <c r="AF41" s="43">
        <v>0</v>
      </c>
      <c r="AG41" s="43">
        <v>0</v>
      </c>
      <c r="AH41" s="43">
        <v>1</v>
      </c>
      <c r="AI41" s="43">
        <v>0</v>
      </c>
      <c r="AJ41" s="43">
        <v>0</v>
      </c>
      <c r="AK41" s="43">
        <v>0</v>
      </c>
      <c r="AL41" s="43">
        <v>1</v>
      </c>
      <c r="AM41" s="43">
        <v>0</v>
      </c>
    </row>
    <row r="42" spans="1:39" x14ac:dyDescent="0.2">
      <c r="A42" s="43" t="s">
        <v>130</v>
      </c>
      <c r="B42" s="43" t="s">
        <v>53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2</v>
      </c>
      <c r="I42" s="43">
        <v>1</v>
      </c>
      <c r="J42" s="43">
        <v>1</v>
      </c>
      <c r="K42" s="43">
        <v>1</v>
      </c>
      <c r="L42" s="43">
        <v>0</v>
      </c>
      <c r="M42" s="43">
        <v>1</v>
      </c>
      <c r="N42" s="43">
        <v>2</v>
      </c>
      <c r="O42" s="43">
        <v>0</v>
      </c>
      <c r="P42" s="43">
        <v>0</v>
      </c>
      <c r="Q42" s="43">
        <v>1</v>
      </c>
      <c r="R42" s="43">
        <v>1</v>
      </c>
      <c r="S42" s="43">
        <v>1</v>
      </c>
      <c r="T42" s="43">
        <v>1</v>
      </c>
      <c r="U42" s="43">
        <v>1</v>
      </c>
      <c r="V42" s="43">
        <v>1</v>
      </c>
      <c r="W42" s="43">
        <v>1</v>
      </c>
      <c r="X42" s="43">
        <v>1</v>
      </c>
      <c r="Y42" s="43">
        <v>1</v>
      </c>
      <c r="Z42" s="43">
        <v>1</v>
      </c>
      <c r="AA42" s="43">
        <v>1</v>
      </c>
      <c r="AB42" s="43">
        <v>1</v>
      </c>
      <c r="AC42" s="43">
        <v>1</v>
      </c>
      <c r="AD42" s="43">
        <v>1</v>
      </c>
      <c r="AE42" s="43">
        <v>1</v>
      </c>
      <c r="AF42" s="43">
        <v>1</v>
      </c>
      <c r="AG42" s="43">
        <v>1</v>
      </c>
      <c r="AH42" s="43">
        <v>1</v>
      </c>
      <c r="AI42" s="43">
        <v>1</v>
      </c>
      <c r="AJ42" s="43">
        <v>1</v>
      </c>
      <c r="AK42" s="43">
        <v>1</v>
      </c>
      <c r="AL42" s="43">
        <v>0</v>
      </c>
      <c r="AM42" s="43">
        <v>0</v>
      </c>
    </row>
    <row r="43" spans="1:39" x14ac:dyDescent="0.2">
      <c r="A43" s="43" t="s">
        <v>132</v>
      </c>
      <c r="B43" s="43" t="s">
        <v>53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1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1</v>
      </c>
      <c r="AM43" s="43">
        <v>0</v>
      </c>
    </row>
    <row r="44" spans="1:39" x14ac:dyDescent="0.2">
      <c r="A44" s="43" t="s">
        <v>134</v>
      </c>
      <c r="B44" s="43" t="s">
        <v>53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1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</row>
    <row r="45" spans="1:39" x14ac:dyDescent="0.2">
      <c r="A45" s="43" t="s">
        <v>136</v>
      </c>
      <c r="B45" s="43" t="s">
        <v>53</v>
      </c>
      <c r="C45" s="43">
        <v>0</v>
      </c>
      <c r="D45" s="43">
        <v>1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2</v>
      </c>
      <c r="O45" s="43">
        <v>0</v>
      </c>
      <c r="P45" s="43">
        <v>0</v>
      </c>
      <c r="Q45" s="43">
        <v>0</v>
      </c>
      <c r="R45" s="43">
        <v>0</v>
      </c>
      <c r="S45" s="43">
        <v>1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1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1</v>
      </c>
      <c r="AJ45" s="43">
        <v>0</v>
      </c>
      <c r="AK45" s="43">
        <v>0</v>
      </c>
      <c r="AL45" s="43">
        <v>0</v>
      </c>
      <c r="AM45" s="43">
        <v>0</v>
      </c>
    </row>
    <row r="46" spans="1:39" x14ac:dyDescent="0.2">
      <c r="A46" s="43" t="s">
        <v>138</v>
      </c>
      <c r="B46" s="43" t="s">
        <v>53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1</v>
      </c>
      <c r="L46" s="43">
        <v>0</v>
      </c>
      <c r="M46" s="43">
        <v>0</v>
      </c>
      <c r="N46" s="43">
        <v>2</v>
      </c>
      <c r="O46" s="43">
        <v>0</v>
      </c>
      <c r="P46" s="43">
        <v>0</v>
      </c>
      <c r="Q46" s="43">
        <v>0</v>
      </c>
      <c r="R46" s="43">
        <v>1</v>
      </c>
      <c r="S46" s="43">
        <v>0</v>
      </c>
      <c r="T46" s="43">
        <v>0</v>
      </c>
      <c r="U46" s="43">
        <v>1</v>
      </c>
      <c r="V46" s="43">
        <v>0</v>
      </c>
      <c r="W46" s="43">
        <v>1</v>
      </c>
      <c r="X46" s="43">
        <v>0</v>
      </c>
      <c r="Y46" s="43">
        <v>0</v>
      </c>
      <c r="Z46" s="43">
        <v>0</v>
      </c>
      <c r="AA46" s="43">
        <v>1</v>
      </c>
      <c r="AB46" s="43">
        <v>0</v>
      </c>
      <c r="AC46" s="43">
        <v>1</v>
      </c>
      <c r="AD46" s="43">
        <v>1</v>
      </c>
      <c r="AE46" s="43">
        <v>0</v>
      </c>
      <c r="AF46" s="43">
        <v>1</v>
      </c>
      <c r="AG46" s="43">
        <v>0</v>
      </c>
      <c r="AH46" s="43">
        <v>1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</row>
    <row r="47" spans="1:39" x14ac:dyDescent="0.2">
      <c r="A47" s="43" t="s">
        <v>140</v>
      </c>
      <c r="B47" s="43" t="s">
        <v>53</v>
      </c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1</v>
      </c>
      <c r="V47" s="43">
        <v>0</v>
      </c>
      <c r="W47" s="43">
        <v>1</v>
      </c>
      <c r="X47" s="43">
        <v>0</v>
      </c>
      <c r="Y47" s="43">
        <v>0</v>
      </c>
      <c r="Z47" s="43">
        <v>0</v>
      </c>
      <c r="AA47" s="43">
        <v>1</v>
      </c>
      <c r="AB47" s="43">
        <v>1</v>
      </c>
      <c r="AC47" s="43">
        <v>0</v>
      </c>
      <c r="AD47" s="43">
        <v>0</v>
      </c>
      <c r="AE47" s="43">
        <v>0</v>
      </c>
      <c r="AF47" s="43">
        <v>1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1</v>
      </c>
      <c r="AM47" s="43">
        <v>0</v>
      </c>
    </row>
    <row r="48" spans="1:39" x14ac:dyDescent="0.2">
      <c r="A48" s="43" t="s">
        <v>142</v>
      </c>
      <c r="B48" s="43" t="s">
        <v>53</v>
      </c>
      <c r="C48" s="43">
        <v>0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1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3">
        <v>1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0</v>
      </c>
      <c r="AF48" s="43">
        <v>0</v>
      </c>
      <c r="AG48" s="43">
        <v>0</v>
      </c>
      <c r="AH48" s="43">
        <v>0</v>
      </c>
      <c r="AI48" s="43">
        <v>0</v>
      </c>
      <c r="AJ48" s="43">
        <v>1</v>
      </c>
      <c r="AK48" s="43">
        <v>0</v>
      </c>
      <c r="AL48" s="43">
        <v>0</v>
      </c>
      <c r="AM48" s="43">
        <v>0</v>
      </c>
    </row>
    <row r="49" spans="1:39" x14ac:dyDescent="0.2">
      <c r="A49" s="43" t="s">
        <v>144</v>
      </c>
      <c r="B49" s="43" t="s">
        <v>53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2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1</v>
      </c>
      <c r="R49" s="43">
        <v>0</v>
      </c>
      <c r="S49" s="43">
        <v>0</v>
      </c>
      <c r="T49" s="43">
        <v>0</v>
      </c>
      <c r="U49" s="43">
        <v>0</v>
      </c>
      <c r="V49" s="43">
        <v>1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1</v>
      </c>
      <c r="AD49" s="43">
        <v>0</v>
      </c>
      <c r="AE49" s="43">
        <v>0</v>
      </c>
      <c r="AF49" s="43">
        <v>0</v>
      </c>
      <c r="AG49" s="43">
        <v>0</v>
      </c>
      <c r="AH49" s="43">
        <v>1</v>
      </c>
      <c r="AI49" s="43">
        <v>0</v>
      </c>
      <c r="AJ49" s="43">
        <v>0</v>
      </c>
      <c r="AK49" s="43">
        <v>0</v>
      </c>
      <c r="AL49" s="43">
        <v>1</v>
      </c>
      <c r="AM49" s="43">
        <v>0</v>
      </c>
    </row>
    <row r="50" spans="1:39" x14ac:dyDescent="0.2">
      <c r="A50" s="43" t="s">
        <v>146</v>
      </c>
      <c r="B50" s="43" t="s">
        <v>53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1</v>
      </c>
      <c r="R50" s="43">
        <v>1</v>
      </c>
      <c r="S50" s="43">
        <v>1</v>
      </c>
      <c r="T50" s="43">
        <v>1</v>
      </c>
      <c r="U50" s="43">
        <v>1</v>
      </c>
      <c r="V50" s="43">
        <v>1</v>
      </c>
      <c r="W50" s="43">
        <v>1</v>
      </c>
      <c r="X50" s="43">
        <v>1</v>
      </c>
      <c r="Y50" s="43">
        <v>1</v>
      </c>
      <c r="Z50" s="43">
        <v>1</v>
      </c>
      <c r="AA50" s="43">
        <v>1</v>
      </c>
      <c r="AB50" s="43">
        <v>1</v>
      </c>
      <c r="AC50" s="43">
        <v>1</v>
      </c>
      <c r="AD50" s="43">
        <v>1</v>
      </c>
      <c r="AE50" s="43">
        <v>1</v>
      </c>
      <c r="AF50" s="43">
        <v>1</v>
      </c>
      <c r="AG50" s="43">
        <v>1</v>
      </c>
      <c r="AH50" s="43">
        <v>1</v>
      </c>
      <c r="AI50" s="43">
        <v>1</v>
      </c>
      <c r="AJ50" s="43">
        <v>1</v>
      </c>
      <c r="AK50" s="43">
        <v>0</v>
      </c>
      <c r="AL50" s="43">
        <v>0</v>
      </c>
      <c r="AM50" s="43">
        <v>0</v>
      </c>
    </row>
    <row r="51" spans="1:39" x14ac:dyDescent="0.2">
      <c r="A51" s="43" t="s">
        <v>148</v>
      </c>
      <c r="B51" s="43" t="s">
        <v>53</v>
      </c>
      <c r="C51" s="43">
        <v>0</v>
      </c>
      <c r="D51" s="43">
        <v>0</v>
      </c>
      <c r="E51" s="43">
        <v>0</v>
      </c>
      <c r="F51" s="43">
        <v>1</v>
      </c>
      <c r="G51" s="43">
        <v>2</v>
      </c>
      <c r="H51" s="43">
        <v>1</v>
      </c>
      <c r="I51" s="43">
        <v>0</v>
      </c>
      <c r="J51" s="43">
        <v>1</v>
      </c>
      <c r="K51" s="43">
        <v>1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1</v>
      </c>
      <c r="R51" s="43">
        <v>1</v>
      </c>
      <c r="S51" s="43">
        <v>0</v>
      </c>
      <c r="T51" s="43">
        <v>0</v>
      </c>
      <c r="U51" s="43">
        <v>0</v>
      </c>
      <c r="V51" s="43">
        <v>1</v>
      </c>
      <c r="W51" s="43">
        <v>0</v>
      </c>
      <c r="X51" s="43">
        <v>1</v>
      </c>
      <c r="Y51" s="43">
        <v>1</v>
      </c>
      <c r="Z51" s="43">
        <v>0</v>
      </c>
      <c r="AA51" s="43">
        <v>0</v>
      </c>
      <c r="AB51" s="43">
        <v>0</v>
      </c>
      <c r="AC51" s="43">
        <v>1</v>
      </c>
      <c r="AD51" s="43">
        <v>0</v>
      </c>
      <c r="AE51" s="43">
        <v>1</v>
      </c>
      <c r="AF51" s="43">
        <v>0</v>
      </c>
      <c r="AG51" s="43">
        <v>1</v>
      </c>
      <c r="AH51" s="43">
        <v>0</v>
      </c>
      <c r="AI51" s="43">
        <v>1</v>
      </c>
      <c r="AJ51" s="43">
        <v>0</v>
      </c>
      <c r="AK51" s="43">
        <v>0</v>
      </c>
      <c r="AL51" s="43">
        <v>0</v>
      </c>
      <c r="AM51" s="43">
        <v>0</v>
      </c>
    </row>
    <row r="52" spans="1:39" x14ac:dyDescent="0.2">
      <c r="A52" s="43" t="s">
        <v>150</v>
      </c>
      <c r="B52" s="43" t="s">
        <v>53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  <c r="V52" s="43">
        <v>0</v>
      </c>
      <c r="W52" s="43">
        <v>0</v>
      </c>
      <c r="X52" s="43">
        <v>0</v>
      </c>
      <c r="Y52" s="43">
        <v>0</v>
      </c>
      <c r="Z52" s="43">
        <v>1</v>
      </c>
      <c r="AA52" s="43">
        <v>0</v>
      </c>
      <c r="AB52" s="43">
        <v>0</v>
      </c>
      <c r="AC52" s="43">
        <v>0</v>
      </c>
      <c r="AD52" s="43">
        <v>0</v>
      </c>
      <c r="AE52" s="43">
        <v>0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1</v>
      </c>
      <c r="AL52" s="43">
        <v>0</v>
      </c>
      <c r="AM52" s="43">
        <v>0</v>
      </c>
    </row>
    <row r="53" spans="1:39" x14ac:dyDescent="0.2">
      <c r="A53" s="43" t="s">
        <v>152</v>
      </c>
      <c r="B53" s="43" t="s">
        <v>53</v>
      </c>
      <c r="C53" s="43">
        <v>0</v>
      </c>
      <c r="D53" s="43">
        <v>0</v>
      </c>
      <c r="E53" s="43">
        <v>0</v>
      </c>
      <c r="F53" s="43">
        <v>1</v>
      </c>
      <c r="G53" s="43">
        <v>0</v>
      </c>
      <c r="H53" s="43">
        <v>1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1</v>
      </c>
      <c r="R53" s="43">
        <v>0</v>
      </c>
      <c r="S53" s="43">
        <v>1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1</v>
      </c>
      <c r="Z53" s="43">
        <v>0</v>
      </c>
      <c r="AA53" s="43">
        <v>0</v>
      </c>
      <c r="AB53" s="43">
        <v>0</v>
      </c>
      <c r="AC53" s="43">
        <v>0</v>
      </c>
      <c r="AD53" s="43">
        <v>1</v>
      </c>
      <c r="AE53" s="43">
        <v>0</v>
      </c>
      <c r="AF53" s="43">
        <v>0</v>
      </c>
      <c r="AG53" s="43">
        <v>1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</row>
    <row r="54" spans="1:39" x14ac:dyDescent="0.2">
      <c r="A54" s="43" t="s">
        <v>154</v>
      </c>
      <c r="B54" s="43" t="s">
        <v>53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1</v>
      </c>
      <c r="K54" s="43">
        <v>0</v>
      </c>
      <c r="L54" s="43">
        <v>0</v>
      </c>
      <c r="M54" s="43">
        <v>1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1</v>
      </c>
      <c r="V54" s="43">
        <v>0</v>
      </c>
      <c r="W54" s="43">
        <v>0</v>
      </c>
      <c r="X54" s="43">
        <v>0</v>
      </c>
      <c r="Y54" s="43">
        <v>0</v>
      </c>
      <c r="Z54" s="43">
        <v>1</v>
      </c>
      <c r="AA54" s="43">
        <v>0</v>
      </c>
      <c r="AB54" s="43">
        <v>0</v>
      </c>
      <c r="AC54" s="43">
        <v>0</v>
      </c>
      <c r="AD54" s="43">
        <v>0</v>
      </c>
      <c r="AE54" s="43">
        <v>1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</row>
    <row r="55" spans="1:39" x14ac:dyDescent="0.2">
      <c r="A55" s="43" t="s">
        <v>156</v>
      </c>
      <c r="B55" s="43" t="s">
        <v>53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1</v>
      </c>
      <c r="K55" s="43">
        <v>0</v>
      </c>
      <c r="L55" s="43">
        <v>1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1</v>
      </c>
      <c r="V55" s="43">
        <v>0</v>
      </c>
      <c r="W55" s="43">
        <v>0</v>
      </c>
      <c r="X55" s="43">
        <v>0</v>
      </c>
      <c r="Y55" s="43">
        <v>0</v>
      </c>
      <c r="Z55" s="43">
        <v>0</v>
      </c>
      <c r="AA55" s="43">
        <v>0</v>
      </c>
      <c r="AB55" s="43">
        <v>0</v>
      </c>
      <c r="AC55" s="43">
        <v>1</v>
      </c>
      <c r="AD55" s="43">
        <v>0</v>
      </c>
      <c r="AE55" s="43">
        <v>0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1</v>
      </c>
      <c r="AL55" s="43">
        <v>0</v>
      </c>
      <c r="AM55" s="43">
        <v>0</v>
      </c>
    </row>
    <row r="56" spans="1:39" x14ac:dyDescent="0.2">
      <c r="A56" s="43" t="s">
        <v>158</v>
      </c>
      <c r="B56" s="43" t="s">
        <v>53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2</v>
      </c>
      <c r="M56" s="43">
        <v>0</v>
      </c>
      <c r="N56" s="43">
        <v>0</v>
      </c>
      <c r="O56" s="43">
        <v>0</v>
      </c>
      <c r="P56" s="43">
        <v>0</v>
      </c>
      <c r="Q56" s="43">
        <v>1</v>
      </c>
      <c r="R56" s="43">
        <v>0</v>
      </c>
      <c r="S56" s="43">
        <v>0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1</v>
      </c>
      <c r="AL56" s="43">
        <v>0</v>
      </c>
      <c r="AM56" s="43">
        <v>0</v>
      </c>
    </row>
    <row r="57" spans="1:39" x14ac:dyDescent="0.2">
      <c r="A57" s="43" t="s">
        <v>160</v>
      </c>
      <c r="B57" s="43" t="s">
        <v>53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1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</v>
      </c>
      <c r="AD57" s="43">
        <v>0</v>
      </c>
      <c r="AE57" s="43">
        <v>1</v>
      </c>
      <c r="AF57" s="43">
        <v>1</v>
      </c>
      <c r="AG57" s="43">
        <v>0</v>
      </c>
      <c r="AH57" s="43">
        <v>0</v>
      </c>
      <c r="AI57" s="43">
        <v>0</v>
      </c>
      <c r="AJ57" s="43">
        <v>1</v>
      </c>
      <c r="AK57" s="43">
        <v>0</v>
      </c>
      <c r="AL57" s="43">
        <v>0</v>
      </c>
      <c r="AM57" s="43">
        <v>0</v>
      </c>
    </row>
    <row r="58" spans="1:39" x14ac:dyDescent="0.2">
      <c r="A58" s="43" t="s">
        <v>162</v>
      </c>
      <c r="B58" s="43" t="s">
        <v>53</v>
      </c>
      <c r="C58" s="43">
        <v>0</v>
      </c>
      <c r="D58" s="43">
        <v>0</v>
      </c>
      <c r="E58" s="43">
        <v>1</v>
      </c>
      <c r="F58" s="43">
        <v>0</v>
      </c>
      <c r="G58" s="43">
        <v>0</v>
      </c>
      <c r="H58" s="43">
        <v>2</v>
      </c>
      <c r="I58" s="43">
        <v>2</v>
      </c>
      <c r="J58" s="43">
        <v>1</v>
      </c>
      <c r="K58" s="43">
        <v>2</v>
      </c>
      <c r="L58" s="43">
        <v>1</v>
      </c>
      <c r="M58" s="43">
        <v>2</v>
      </c>
      <c r="N58" s="43">
        <v>1</v>
      </c>
      <c r="O58" s="43">
        <v>0</v>
      </c>
      <c r="P58" s="43">
        <v>0</v>
      </c>
      <c r="Q58" s="43">
        <v>1</v>
      </c>
      <c r="R58" s="43">
        <v>1</v>
      </c>
      <c r="S58" s="43">
        <v>0</v>
      </c>
      <c r="T58" s="43">
        <v>1</v>
      </c>
      <c r="U58" s="43">
        <v>1</v>
      </c>
      <c r="V58" s="43">
        <v>1</v>
      </c>
      <c r="W58" s="43">
        <v>1</v>
      </c>
      <c r="X58" s="43">
        <v>1</v>
      </c>
      <c r="Y58" s="43">
        <v>1</v>
      </c>
      <c r="Z58" s="43">
        <v>1</v>
      </c>
      <c r="AA58" s="43">
        <v>1</v>
      </c>
      <c r="AB58" s="43">
        <v>1</v>
      </c>
      <c r="AC58" s="43">
        <v>1</v>
      </c>
      <c r="AD58" s="43">
        <v>1</v>
      </c>
      <c r="AE58" s="43">
        <v>1</v>
      </c>
      <c r="AF58" s="43">
        <v>1</v>
      </c>
      <c r="AG58" s="43">
        <v>1</v>
      </c>
      <c r="AH58" s="43">
        <v>1</v>
      </c>
      <c r="AI58" s="43">
        <v>1</v>
      </c>
      <c r="AJ58" s="43">
        <v>1</v>
      </c>
      <c r="AK58" s="43">
        <v>2</v>
      </c>
      <c r="AL58" s="43">
        <v>0</v>
      </c>
      <c r="AM58" s="43">
        <v>0</v>
      </c>
    </row>
    <row r="59" spans="1:39" x14ac:dyDescent="0.2">
      <c r="A59" s="43" t="s">
        <v>164</v>
      </c>
      <c r="B59" s="43" t="s">
        <v>53</v>
      </c>
      <c r="C59" s="43">
        <v>0</v>
      </c>
      <c r="D59" s="43">
        <v>0</v>
      </c>
      <c r="E59" s="43">
        <v>2</v>
      </c>
      <c r="F59" s="43">
        <v>1</v>
      </c>
      <c r="G59" s="43">
        <v>2</v>
      </c>
      <c r="H59" s="43">
        <v>1</v>
      </c>
      <c r="I59" s="43">
        <v>1</v>
      </c>
      <c r="J59" s="43">
        <v>1</v>
      </c>
      <c r="K59" s="43">
        <v>2</v>
      </c>
      <c r="L59" s="43">
        <v>1</v>
      </c>
      <c r="M59" s="43">
        <v>2</v>
      </c>
      <c r="N59" s="43">
        <v>2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  <c r="W59" s="43">
        <v>1</v>
      </c>
      <c r="X59" s="43">
        <v>1</v>
      </c>
      <c r="Y59" s="43">
        <v>1</v>
      </c>
      <c r="Z59" s="43">
        <v>1</v>
      </c>
      <c r="AA59" s="43">
        <v>0</v>
      </c>
      <c r="AB59" s="43">
        <v>1</v>
      </c>
      <c r="AC59" s="43">
        <v>0</v>
      </c>
      <c r="AD59" s="43">
        <v>1</v>
      </c>
      <c r="AE59" s="43">
        <v>1</v>
      </c>
      <c r="AF59" s="43">
        <v>0</v>
      </c>
      <c r="AG59" s="43">
        <v>0</v>
      </c>
      <c r="AH59" s="43">
        <v>1</v>
      </c>
      <c r="AI59" s="43">
        <v>0</v>
      </c>
      <c r="AJ59" s="43">
        <v>0</v>
      </c>
      <c r="AK59" s="43">
        <v>0</v>
      </c>
      <c r="AL59" s="43">
        <v>0</v>
      </c>
      <c r="AM59" s="43">
        <v>0</v>
      </c>
    </row>
    <row r="60" spans="1:39" x14ac:dyDescent="0.2">
      <c r="A60" s="43" t="s">
        <v>166</v>
      </c>
      <c r="B60" s="43" t="s">
        <v>53</v>
      </c>
      <c r="C60" s="43">
        <v>0</v>
      </c>
      <c r="D60" s="43">
        <v>1</v>
      </c>
      <c r="E60" s="43">
        <v>1</v>
      </c>
      <c r="F60" s="43">
        <v>2</v>
      </c>
      <c r="G60" s="43">
        <v>1</v>
      </c>
      <c r="H60" s="43">
        <v>1</v>
      </c>
      <c r="I60" s="43">
        <v>2</v>
      </c>
      <c r="J60" s="43">
        <v>1</v>
      </c>
      <c r="K60" s="43">
        <v>1</v>
      </c>
      <c r="L60" s="43">
        <v>2</v>
      </c>
      <c r="M60" s="43">
        <v>1</v>
      </c>
      <c r="N60" s="43">
        <v>1</v>
      </c>
      <c r="O60" s="43">
        <v>0</v>
      </c>
      <c r="P60" s="43">
        <v>0</v>
      </c>
      <c r="Q60" s="43">
        <v>1</v>
      </c>
      <c r="R60" s="43">
        <v>1</v>
      </c>
      <c r="S60" s="43">
        <v>1</v>
      </c>
      <c r="T60" s="43">
        <v>1</v>
      </c>
      <c r="U60" s="43">
        <v>1</v>
      </c>
      <c r="V60" s="43">
        <v>1</v>
      </c>
      <c r="W60" s="43">
        <v>1</v>
      </c>
      <c r="X60" s="43">
        <v>1</v>
      </c>
      <c r="Y60" s="43">
        <v>1</v>
      </c>
      <c r="Z60" s="43">
        <v>1</v>
      </c>
      <c r="AA60" s="43">
        <v>1</v>
      </c>
      <c r="AB60" s="43">
        <v>1</v>
      </c>
      <c r="AC60" s="43">
        <v>1</v>
      </c>
      <c r="AD60" s="43">
        <v>1</v>
      </c>
      <c r="AE60" s="43">
        <v>1</v>
      </c>
      <c r="AF60" s="43">
        <v>1</v>
      </c>
      <c r="AG60" s="43">
        <v>1</v>
      </c>
      <c r="AH60" s="43">
        <v>1</v>
      </c>
      <c r="AI60" s="43">
        <v>1</v>
      </c>
      <c r="AJ60" s="43">
        <v>1</v>
      </c>
      <c r="AK60" s="43">
        <v>1</v>
      </c>
      <c r="AL60" s="43">
        <v>0</v>
      </c>
      <c r="AM60" s="43">
        <v>0</v>
      </c>
    </row>
    <row r="61" spans="1:39" x14ac:dyDescent="0.2">
      <c r="A61" s="43" t="s">
        <v>168</v>
      </c>
      <c r="B61" s="43" t="s">
        <v>53</v>
      </c>
      <c r="C61" s="43">
        <v>0</v>
      </c>
      <c r="D61" s="43">
        <v>0</v>
      </c>
      <c r="E61" s="43">
        <v>2</v>
      </c>
      <c r="F61" s="43">
        <v>0</v>
      </c>
      <c r="G61" s="43">
        <v>0</v>
      </c>
      <c r="H61" s="43">
        <v>0</v>
      </c>
      <c r="I61" s="43">
        <v>2</v>
      </c>
      <c r="J61" s="43">
        <v>0</v>
      </c>
      <c r="K61" s="43">
        <v>0</v>
      </c>
      <c r="L61" s="43">
        <v>0</v>
      </c>
      <c r="M61" s="43">
        <v>2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  <c r="W61" s="43">
        <v>0</v>
      </c>
      <c r="X61" s="43">
        <v>1</v>
      </c>
      <c r="Y61" s="43">
        <v>1</v>
      </c>
      <c r="Z61" s="43">
        <v>0</v>
      </c>
      <c r="AA61" s="43">
        <v>0</v>
      </c>
      <c r="AB61" s="43">
        <v>1</v>
      </c>
      <c r="AC61" s="43">
        <v>1</v>
      </c>
      <c r="AD61" s="43">
        <v>1</v>
      </c>
      <c r="AE61" s="43">
        <v>1</v>
      </c>
      <c r="AF61" s="43">
        <v>1</v>
      </c>
      <c r="AG61" s="43">
        <v>1</v>
      </c>
      <c r="AH61" s="43">
        <v>1</v>
      </c>
      <c r="AI61" s="43">
        <v>1</v>
      </c>
      <c r="AJ61" s="43">
        <v>1</v>
      </c>
      <c r="AK61" s="43">
        <v>0</v>
      </c>
      <c r="AL61" s="43">
        <v>0</v>
      </c>
      <c r="AM61" s="43">
        <v>0</v>
      </c>
    </row>
    <row r="62" spans="1:39" x14ac:dyDescent="0.2">
      <c r="A62" s="43" t="s">
        <v>170</v>
      </c>
      <c r="B62" s="43" t="s">
        <v>53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43">
        <v>0</v>
      </c>
      <c r="W62" s="43">
        <v>0</v>
      </c>
      <c r="X62" s="43">
        <v>0</v>
      </c>
      <c r="Y62" s="43">
        <v>1</v>
      </c>
      <c r="Z62" s="43">
        <v>0</v>
      </c>
      <c r="AA62" s="43">
        <v>0</v>
      </c>
      <c r="AB62" s="43">
        <v>0</v>
      </c>
      <c r="AC62" s="43">
        <v>0</v>
      </c>
      <c r="AD62" s="43">
        <v>0</v>
      </c>
      <c r="AE62" s="43">
        <v>1</v>
      </c>
      <c r="AF62" s="43">
        <v>0</v>
      </c>
      <c r="AG62" s="43">
        <v>0</v>
      </c>
      <c r="AH62" s="43">
        <v>0</v>
      </c>
      <c r="AI62" s="43">
        <v>0</v>
      </c>
      <c r="AJ62" s="43">
        <v>1</v>
      </c>
      <c r="AK62" s="43">
        <v>0</v>
      </c>
      <c r="AL62" s="43">
        <v>1</v>
      </c>
      <c r="AM62" s="43">
        <v>0</v>
      </c>
    </row>
    <row r="63" spans="1:39" x14ac:dyDescent="0.2">
      <c r="A63" s="43" t="s">
        <v>172</v>
      </c>
      <c r="B63" s="43" t="s">
        <v>53</v>
      </c>
      <c r="C63" s="43">
        <v>0</v>
      </c>
      <c r="D63" s="43">
        <v>0</v>
      </c>
      <c r="E63" s="43">
        <v>0</v>
      </c>
      <c r="F63" s="43">
        <v>0</v>
      </c>
      <c r="G63" s="43">
        <v>2</v>
      </c>
      <c r="H63" s="43">
        <v>2</v>
      </c>
      <c r="I63" s="43">
        <v>2</v>
      </c>
      <c r="J63" s="43">
        <v>2</v>
      </c>
      <c r="K63" s="43">
        <v>1</v>
      </c>
      <c r="L63" s="43">
        <v>2</v>
      </c>
      <c r="M63" s="43">
        <v>1</v>
      </c>
      <c r="N63" s="43">
        <v>1</v>
      </c>
      <c r="O63" s="43">
        <v>0</v>
      </c>
      <c r="P63" s="43">
        <v>0</v>
      </c>
      <c r="Q63" s="43">
        <v>0</v>
      </c>
      <c r="R63" s="43">
        <v>1</v>
      </c>
      <c r="S63" s="43">
        <v>1</v>
      </c>
      <c r="T63" s="43">
        <v>1</v>
      </c>
      <c r="U63" s="43">
        <v>1</v>
      </c>
      <c r="V63" s="43">
        <v>1</v>
      </c>
      <c r="W63" s="43">
        <v>1</v>
      </c>
      <c r="X63" s="43">
        <v>1</v>
      </c>
      <c r="Y63" s="43">
        <v>1</v>
      </c>
      <c r="Z63" s="43">
        <v>1</v>
      </c>
      <c r="AA63" s="43">
        <v>1</v>
      </c>
      <c r="AB63" s="43">
        <v>1</v>
      </c>
      <c r="AC63" s="43">
        <v>1</v>
      </c>
      <c r="AD63" s="43">
        <v>1</v>
      </c>
      <c r="AE63" s="43">
        <v>0</v>
      </c>
      <c r="AF63" s="43">
        <v>1</v>
      </c>
      <c r="AG63" s="43">
        <v>1</v>
      </c>
      <c r="AH63" s="43">
        <v>1</v>
      </c>
      <c r="AI63" s="43">
        <v>1</v>
      </c>
      <c r="AJ63" s="43">
        <v>0</v>
      </c>
      <c r="AK63" s="43">
        <v>0</v>
      </c>
      <c r="AL63" s="43">
        <v>0</v>
      </c>
      <c r="AM63" s="43">
        <v>0</v>
      </c>
    </row>
    <row r="64" spans="1:39" x14ac:dyDescent="0.2">
      <c r="A64" s="43" t="s">
        <v>174</v>
      </c>
      <c r="B64" s="43" t="s">
        <v>53</v>
      </c>
      <c r="C64" s="43">
        <v>0</v>
      </c>
      <c r="D64" s="43">
        <v>0</v>
      </c>
      <c r="E64" s="43">
        <v>1</v>
      </c>
      <c r="F64" s="43">
        <v>2</v>
      </c>
      <c r="G64" s="43">
        <v>0</v>
      </c>
      <c r="H64" s="43">
        <v>0</v>
      </c>
      <c r="I64" s="43">
        <v>0</v>
      </c>
      <c r="J64" s="43">
        <v>1</v>
      </c>
      <c r="K64" s="43">
        <v>2</v>
      </c>
      <c r="L64" s="43">
        <v>0</v>
      </c>
      <c r="M64" s="43">
        <v>0</v>
      </c>
      <c r="N64" s="43">
        <v>1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1</v>
      </c>
      <c r="V64" s="43">
        <v>0</v>
      </c>
      <c r="W64" s="43">
        <v>0</v>
      </c>
      <c r="X64" s="43">
        <v>0</v>
      </c>
      <c r="Y64" s="43">
        <v>1</v>
      </c>
      <c r="Z64" s="43">
        <v>0</v>
      </c>
      <c r="AA64" s="43">
        <v>1</v>
      </c>
      <c r="AB64" s="43">
        <v>0</v>
      </c>
      <c r="AC64" s="43">
        <v>1</v>
      </c>
      <c r="AD64" s="43">
        <v>0</v>
      </c>
      <c r="AE64" s="43">
        <v>0</v>
      </c>
      <c r="AF64" s="43">
        <v>1</v>
      </c>
      <c r="AG64" s="43">
        <v>0</v>
      </c>
      <c r="AH64" s="43">
        <v>0</v>
      </c>
      <c r="AI64" s="43">
        <v>0</v>
      </c>
      <c r="AJ64" s="43">
        <v>1</v>
      </c>
      <c r="AK64" s="43">
        <v>0</v>
      </c>
      <c r="AL64" s="43">
        <v>0</v>
      </c>
      <c r="AM64" s="43">
        <v>0</v>
      </c>
    </row>
    <row r="65" spans="1:39" x14ac:dyDescent="0.2">
      <c r="A65" s="43" t="s">
        <v>176</v>
      </c>
      <c r="B65" s="43" t="s">
        <v>53</v>
      </c>
      <c r="C65" s="43">
        <v>0</v>
      </c>
      <c r="D65" s="43">
        <v>0</v>
      </c>
      <c r="E65" s="43">
        <v>0</v>
      </c>
      <c r="F65" s="43">
        <v>0</v>
      </c>
      <c r="G65" s="43">
        <v>1</v>
      </c>
      <c r="H65" s="43">
        <v>0</v>
      </c>
      <c r="I65" s="43">
        <v>1</v>
      </c>
      <c r="J65" s="43">
        <v>0</v>
      </c>
      <c r="K65" s="43">
        <v>0</v>
      </c>
      <c r="L65" s="43">
        <v>1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1</v>
      </c>
      <c r="U65" s="43">
        <v>1</v>
      </c>
      <c r="V65" s="43">
        <v>1</v>
      </c>
      <c r="W65" s="43">
        <v>1</v>
      </c>
      <c r="X65" s="43">
        <v>1</v>
      </c>
      <c r="Y65" s="43">
        <v>1</v>
      </c>
      <c r="Z65" s="43">
        <v>1</v>
      </c>
      <c r="AA65" s="43">
        <v>1</v>
      </c>
      <c r="AB65" s="43">
        <v>1</v>
      </c>
      <c r="AC65" s="43">
        <v>1</v>
      </c>
      <c r="AD65" s="43">
        <v>1</v>
      </c>
      <c r="AE65" s="43">
        <v>1</v>
      </c>
      <c r="AF65" s="43">
        <v>1</v>
      </c>
      <c r="AG65" s="43">
        <v>1</v>
      </c>
      <c r="AH65" s="43">
        <v>1</v>
      </c>
      <c r="AI65" s="43">
        <v>1</v>
      </c>
      <c r="AJ65" s="43">
        <v>1</v>
      </c>
      <c r="AK65" s="43">
        <v>0</v>
      </c>
      <c r="AL65" s="43">
        <v>0</v>
      </c>
      <c r="AM65" s="43">
        <v>0</v>
      </c>
    </row>
    <row r="66" spans="1:39" x14ac:dyDescent="0.2">
      <c r="A66" s="43" t="s">
        <v>178</v>
      </c>
      <c r="B66" s="43" t="s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2</v>
      </c>
      <c r="L66" s="43">
        <v>0</v>
      </c>
      <c r="M66" s="43">
        <v>2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1</v>
      </c>
      <c r="Y66" s="43">
        <v>1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1</v>
      </c>
      <c r="AI66" s="43">
        <v>1</v>
      </c>
      <c r="AJ66" s="43">
        <v>0</v>
      </c>
      <c r="AK66" s="43">
        <v>0</v>
      </c>
      <c r="AL66" s="43">
        <v>1</v>
      </c>
      <c r="AM66" s="43">
        <v>0</v>
      </c>
    </row>
    <row r="67" spans="1:39" x14ac:dyDescent="0.2">
      <c r="A67" s="43" t="s">
        <v>180</v>
      </c>
      <c r="B67" s="43" t="s">
        <v>53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1</v>
      </c>
      <c r="Z67" s="43">
        <v>0</v>
      </c>
      <c r="AA67" s="43">
        <v>0</v>
      </c>
      <c r="AB67" s="43">
        <v>0</v>
      </c>
      <c r="AC67" s="43">
        <v>0</v>
      </c>
      <c r="AD67" s="43">
        <v>0</v>
      </c>
      <c r="AE67" s="43">
        <v>0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1</v>
      </c>
      <c r="AM67" s="43">
        <v>0</v>
      </c>
    </row>
    <row r="68" spans="1:39" x14ac:dyDescent="0.2">
      <c r="A68" s="43" t="s">
        <v>182</v>
      </c>
      <c r="B68" s="43" t="s">
        <v>53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1</v>
      </c>
      <c r="T68" s="43">
        <v>0</v>
      </c>
      <c r="U68" s="43">
        <v>0</v>
      </c>
      <c r="V68" s="43">
        <v>1</v>
      </c>
      <c r="W68" s="43">
        <v>1</v>
      </c>
      <c r="X68" s="43">
        <v>1</v>
      </c>
      <c r="Y68" s="43">
        <v>1</v>
      </c>
      <c r="Z68" s="43">
        <v>1</v>
      </c>
      <c r="AA68" s="43">
        <v>1</v>
      </c>
      <c r="AB68" s="43">
        <v>1</v>
      </c>
      <c r="AC68" s="43">
        <v>1</v>
      </c>
      <c r="AD68" s="43">
        <v>1</v>
      </c>
      <c r="AE68" s="43">
        <v>1</v>
      </c>
      <c r="AF68" s="43">
        <v>1</v>
      </c>
      <c r="AG68" s="43">
        <v>1</v>
      </c>
      <c r="AH68" s="43">
        <v>1</v>
      </c>
      <c r="AI68" s="43">
        <v>1</v>
      </c>
      <c r="AJ68" s="43">
        <v>1</v>
      </c>
      <c r="AK68" s="43">
        <v>1</v>
      </c>
      <c r="AL68" s="43">
        <v>0</v>
      </c>
      <c r="AM68" s="43">
        <v>0</v>
      </c>
    </row>
    <row r="69" spans="1:39" x14ac:dyDescent="0.2">
      <c r="A69" s="43" t="s">
        <v>184</v>
      </c>
      <c r="B69" s="43" t="s">
        <v>53</v>
      </c>
      <c r="C69" s="43">
        <v>0</v>
      </c>
      <c r="D69" s="43">
        <v>0</v>
      </c>
      <c r="E69" s="43">
        <v>0</v>
      </c>
      <c r="F69" s="43">
        <v>0</v>
      </c>
      <c r="G69" s="43">
        <v>1</v>
      </c>
      <c r="H69" s="43">
        <v>0</v>
      </c>
      <c r="I69" s="43">
        <v>0</v>
      </c>
      <c r="J69" s="43">
        <v>0</v>
      </c>
      <c r="K69" s="43">
        <v>0</v>
      </c>
      <c r="L69" s="43">
        <v>2</v>
      </c>
      <c r="M69" s="43">
        <v>0</v>
      </c>
      <c r="N69" s="43">
        <v>0</v>
      </c>
      <c r="O69" s="43">
        <v>0</v>
      </c>
      <c r="P69" s="43">
        <v>0</v>
      </c>
      <c r="Q69" s="43">
        <v>1</v>
      </c>
      <c r="R69" s="43">
        <v>1</v>
      </c>
      <c r="S69" s="43">
        <v>1</v>
      </c>
      <c r="T69" s="43">
        <v>1</v>
      </c>
      <c r="U69" s="43">
        <v>1</v>
      </c>
      <c r="V69" s="43">
        <v>1</v>
      </c>
      <c r="W69" s="43">
        <v>1</v>
      </c>
      <c r="X69" s="43">
        <v>1</v>
      </c>
      <c r="Y69" s="43">
        <v>1</v>
      </c>
      <c r="Z69" s="43">
        <v>1</v>
      </c>
      <c r="AA69" s="43">
        <v>1</v>
      </c>
      <c r="AB69" s="43">
        <v>1</v>
      </c>
      <c r="AC69" s="43">
        <v>1</v>
      </c>
      <c r="AD69" s="43">
        <v>1</v>
      </c>
      <c r="AE69" s="43">
        <v>1</v>
      </c>
      <c r="AF69" s="43">
        <v>1</v>
      </c>
      <c r="AG69" s="43">
        <v>1</v>
      </c>
      <c r="AH69" s="43">
        <v>1</v>
      </c>
      <c r="AI69" s="43">
        <v>1</v>
      </c>
      <c r="AJ69" s="43">
        <v>1</v>
      </c>
      <c r="AK69" s="43">
        <v>0</v>
      </c>
      <c r="AL69" s="43">
        <v>0</v>
      </c>
      <c r="AM69" s="43">
        <v>0</v>
      </c>
    </row>
    <row r="70" spans="1:39" x14ac:dyDescent="0.2">
      <c r="A70" s="43" t="s">
        <v>186</v>
      </c>
      <c r="B70" s="43" t="s">
        <v>53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2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1</v>
      </c>
      <c r="V70" s="43">
        <v>0</v>
      </c>
      <c r="W70" s="43">
        <v>1</v>
      </c>
      <c r="X70" s="43">
        <v>0</v>
      </c>
      <c r="Y70" s="43">
        <v>0</v>
      </c>
      <c r="Z70" s="43">
        <v>0</v>
      </c>
      <c r="AA70" s="43">
        <v>1</v>
      </c>
      <c r="AB70" s="43">
        <v>0</v>
      </c>
      <c r="AC70" s="43">
        <v>0</v>
      </c>
      <c r="AD70" s="43">
        <v>0</v>
      </c>
      <c r="AE70" s="43">
        <v>1</v>
      </c>
      <c r="AF70" s="43">
        <v>0</v>
      </c>
      <c r="AG70" s="43">
        <v>0</v>
      </c>
      <c r="AH70" s="43">
        <v>0</v>
      </c>
      <c r="AI70" s="43">
        <v>0</v>
      </c>
      <c r="AJ70" s="43">
        <v>0</v>
      </c>
      <c r="AK70" s="43">
        <v>1</v>
      </c>
      <c r="AL70" s="43">
        <v>0</v>
      </c>
      <c r="AM70" s="43">
        <v>0</v>
      </c>
    </row>
    <row r="71" spans="1:39" x14ac:dyDescent="0.2">
      <c r="A71" s="43" t="s">
        <v>188</v>
      </c>
      <c r="B71" s="43" t="s">
        <v>53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  <c r="V71" s="43">
        <v>0</v>
      </c>
      <c r="W71" s="43">
        <v>1</v>
      </c>
      <c r="X71" s="43">
        <v>0</v>
      </c>
      <c r="Y71" s="43">
        <v>0</v>
      </c>
      <c r="Z71" s="43">
        <v>0</v>
      </c>
      <c r="AA71" s="43">
        <v>0</v>
      </c>
      <c r="AB71" s="43">
        <v>0</v>
      </c>
      <c r="AC71" s="43">
        <v>0</v>
      </c>
      <c r="AD71" s="43">
        <v>1</v>
      </c>
      <c r="AE71" s="43">
        <v>0</v>
      </c>
      <c r="AF71" s="43">
        <v>0</v>
      </c>
      <c r="AG71" s="43">
        <v>0</v>
      </c>
      <c r="AH71" s="43">
        <v>0</v>
      </c>
      <c r="AI71" s="43">
        <v>0</v>
      </c>
      <c r="AJ71" s="43">
        <v>0</v>
      </c>
      <c r="AK71" s="43">
        <v>0</v>
      </c>
      <c r="AL71" s="43">
        <v>0</v>
      </c>
      <c r="AM71" s="43">
        <v>0</v>
      </c>
    </row>
    <row r="72" spans="1:39" x14ac:dyDescent="0.2">
      <c r="A72" s="43" t="s">
        <v>190</v>
      </c>
      <c r="B72" s="43" t="s">
        <v>53</v>
      </c>
      <c r="C72" s="43">
        <v>0</v>
      </c>
      <c r="D72" s="43">
        <v>0</v>
      </c>
      <c r="E72" s="43">
        <v>1</v>
      </c>
      <c r="F72" s="43">
        <v>1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2</v>
      </c>
      <c r="M72" s="43">
        <v>0</v>
      </c>
      <c r="N72" s="43">
        <v>2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1</v>
      </c>
      <c r="V72" s="43">
        <v>0</v>
      </c>
      <c r="W72" s="43">
        <v>0</v>
      </c>
      <c r="X72" s="43">
        <v>0</v>
      </c>
      <c r="Y72" s="43">
        <v>0</v>
      </c>
      <c r="Z72" s="43">
        <v>0</v>
      </c>
      <c r="AA72" s="43">
        <v>0</v>
      </c>
      <c r="AB72" s="43">
        <v>0</v>
      </c>
      <c r="AC72" s="43">
        <v>1</v>
      </c>
      <c r="AD72" s="43">
        <v>1</v>
      </c>
      <c r="AE72" s="43">
        <v>0</v>
      </c>
      <c r="AF72" s="43">
        <v>0</v>
      </c>
      <c r="AG72" s="43">
        <v>0</v>
      </c>
      <c r="AH72" s="43">
        <v>0</v>
      </c>
      <c r="AI72" s="43">
        <v>0</v>
      </c>
      <c r="AJ72" s="43">
        <v>1</v>
      </c>
      <c r="AK72" s="43">
        <v>0</v>
      </c>
      <c r="AL72" s="43">
        <v>0</v>
      </c>
      <c r="AM72" s="43">
        <v>0</v>
      </c>
    </row>
    <row r="73" spans="1:39" x14ac:dyDescent="0.2">
      <c r="A73" s="43" t="s">
        <v>192</v>
      </c>
      <c r="B73" s="43" t="s">
        <v>53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>
        <v>1</v>
      </c>
      <c r="AA73" s="43">
        <v>0</v>
      </c>
      <c r="AB73" s="43">
        <v>0</v>
      </c>
      <c r="AC73" s="43">
        <v>0</v>
      </c>
      <c r="AD73" s="43">
        <v>0</v>
      </c>
      <c r="AE73" s="43">
        <v>0</v>
      </c>
      <c r="AF73" s="43">
        <v>0</v>
      </c>
      <c r="AG73" s="43">
        <v>1</v>
      </c>
      <c r="AH73" s="43">
        <v>0</v>
      </c>
      <c r="AI73" s="43">
        <v>1</v>
      </c>
      <c r="AJ73" s="43">
        <v>0</v>
      </c>
      <c r="AK73" s="43">
        <v>0</v>
      </c>
      <c r="AL73" s="43">
        <v>0</v>
      </c>
      <c r="AM73" s="43">
        <v>0</v>
      </c>
    </row>
    <row r="74" spans="1:39" x14ac:dyDescent="0.2">
      <c r="A74" s="43" t="s">
        <v>194</v>
      </c>
      <c r="B74" s="43" t="s">
        <v>53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</row>
    <row r="75" spans="1:39" x14ac:dyDescent="0.2">
      <c r="A75" s="43" t="s">
        <v>196</v>
      </c>
      <c r="B75" s="43" t="s">
        <v>53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1</v>
      </c>
      <c r="J75" s="43">
        <v>1</v>
      </c>
      <c r="K75" s="43">
        <v>1</v>
      </c>
      <c r="L75" s="43">
        <v>1</v>
      </c>
      <c r="M75" s="43">
        <v>1</v>
      </c>
      <c r="N75" s="43">
        <v>1</v>
      </c>
      <c r="O75" s="43">
        <v>0</v>
      </c>
      <c r="P75" s="43">
        <v>0</v>
      </c>
      <c r="Q75" s="43">
        <v>1</v>
      </c>
      <c r="R75" s="43">
        <v>1</v>
      </c>
      <c r="S75" s="43">
        <v>1</v>
      </c>
      <c r="T75" s="43">
        <v>0</v>
      </c>
      <c r="U75" s="43">
        <v>1</v>
      </c>
      <c r="V75" s="43">
        <v>1</v>
      </c>
      <c r="W75" s="43">
        <v>1</v>
      </c>
      <c r="X75" s="43">
        <v>1</v>
      </c>
      <c r="Y75" s="43">
        <v>1</v>
      </c>
      <c r="Z75" s="43">
        <v>0</v>
      </c>
      <c r="AA75" s="43">
        <v>1</v>
      </c>
      <c r="AB75" s="43">
        <v>0</v>
      </c>
      <c r="AC75" s="43">
        <v>1</v>
      </c>
      <c r="AD75" s="43">
        <v>1</v>
      </c>
      <c r="AE75" s="43">
        <v>1</v>
      </c>
      <c r="AF75" s="43">
        <v>1</v>
      </c>
      <c r="AG75" s="43">
        <v>1</v>
      </c>
      <c r="AH75" s="43">
        <v>1</v>
      </c>
      <c r="AI75" s="43">
        <v>1</v>
      </c>
      <c r="AJ75" s="43">
        <v>1</v>
      </c>
      <c r="AK75" s="43">
        <v>1</v>
      </c>
      <c r="AL75" s="43">
        <v>0</v>
      </c>
      <c r="AM75" s="43">
        <v>0</v>
      </c>
    </row>
    <row r="76" spans="1:39" x14ac:dyDescent="0.2">
      <c r="A76" s="43" t="s">
        <v>198</v>
      </c>
      <c r="B76" s="43" t="s">
        <v>53</v>
      </c>
      <c r="C76" s="43">
        <v>0</v>
      </c>
      <c r="D76" s="43">
        <v>0</v>
      </c>
      <c r="E76" s="43">
        <v>1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2</v>
      </c>
      <c r="M76" s="43">
        <v>0</v>
      </c>
      <c r="N76" s="43">
        <v>0</v>
      </c>
      <c r="O76" s="43">
        <v>0</v>
      </c>
      <c r="P76" s="43">
        <v>1</v>
      </c>
      <c r="Q76" s="43">
        <v>0</v>
      </c>
      <c r="R76" s="43">
        <v>1</v>
      </c>
      <c r="S76" s="43">
        <v>0</v>
      </c>
      <c r="T76" s="43">
        <v>1</v>
      </c>
      <c r="U76" s="43">
        <v>0</v>
      </c>
      <c r="V76" s="43">
        <v>0</v>
      </c>
      <c r="W76" s="43">
        <v>0</v>
      </c>
      <c r="X76" s="43">
        <v>1</v>
      </c>
      <c r="Y76" s="43">
        <v>0</v>
      </c>
      <c r="Z76" s="43">
        <v>0</v>
      </c>
      <c r="AA76" s="43">
        <v>0</v>
      </c>
      <c r="AB76" s="43">
        <v>0</v>
      </c>
      <c r="AC76" s="43">
        <v>1</v>
      </c>
      <c r="AD76" s="43">
        <v>0</v>
      </c>
      <c r="AE76" s="43">
        <v>1</v>
      </c>
      <c r="AF76" s="43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</row>
    <row r="77" spans="1:39" x14ac:dyDescent="0.2">
      <c r="A77" s="43" t="s">
        <v>200</v>
      </c>
      <c r="B77" s="43" t="s">
        <v>53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1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1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1</v>
      </c>
      <c r="X77" s="43">
        <v>1</v>
      </c>
      <c r="Y77" s="43">
        <v>0</v>
      </c>
      <c r="Z77" s="43">
        <v>0</v>
      </c>
      <c r="AA77" s="43">
        <v>0</v>
      </c>
      <c r="AB77" s="43">
        <v>0</v>
      </c>
      <c r="AC77" s="43">
        <v>2</v>
      </c>
      <c r="AD77" s="43">
        <v>0</v>
      </c>
      <c r="AE77" s="43">
        <v>0</v>
      </c>
      <c r="AF77" s="43">
        <v>1</v>
      </c>
      <c r="AG77" s="43">
        <v>0</v>
      </c>
      <c r="AH77" s="43">
        <v>0</v>
      </c>
      <c r="AI77" s="43">
        <v>1</v>
      </c>
      <c r="AK77" s="43">
        <v>0</v>
      </c>
      <c r="AL77" s="43">
        <v>1</v>
      </c>
      <c r="AM77" s="43">
        <v>0</v>
      </c>
    </row>
    <row r="78" spans="1:39" x14ac:dyDescent="0.2">
      <c r="A78" s="43" t="s">
        <v>202</v>
      </c>
      <c r="B78" s="43" t="s">
        <v>53</v>
      </c>
      <c r="C78" s="43">
        <v>0</v>
      </c>
      <c r="D78" s="43">
        <v>0</v>
      </c>
      <c r="E78" s="43">
        <v>0</v>
      </c>
      <c r="F78" s="43">
        <v>2</v>
      </c>
      <c r="G78" s="43">
        <v>1</v>
      </c>
      <c r="H78" s="43">
        <v>2</v>
      </c>
      <c r="I78" s="43">
        <v>0</v>
      </c>
      <c r="J78" s="43">
        <v>1</v>
      </c>
      <c r="K78" s="43">
        <v>1</v>
      </c>
      <c r="L78" s="43">
        <v>0</v>
      </c>
      <c r="M78" s="43">
        <v>0</v>
      </c>
      <c r="N78" s="43">
        <v>2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43">
        <v>0</v>
      </c>
      <c r="Z78" s="43">
        <v>0</v>
      </c>
      <c r="AA78" s="43">
        <v>0</v>
      </c>
      <c r="AB78" s="43">
        <v>2</v>
      </c>
      <c r="AC78" s="43">
        <v>0</v>
      </c>
      <c r="AD78" s="43">
        <v>0</v>
      </c>
      <c r="AE78" s="43">
        <v>1</v>
      </c>
      <c r="AF78" s="43">
        <v>0</v>
      </c>
      <c r="AG78" s="43">
        <v>1</v>
      </c>
      <c r="AH78" s="43">
        <v>0</v>
      </c>
      <c r="AI78" s="43">
        <v>1</v>
      </c>
      <c r="AJ78" s="43">
        <v>0</v>
      </c>
      <c r="AK78" s="43">
        <v>0</v>
      </c>
      <c r="AL78" s="43">
        <v>1</v>
      </c>
      <c r="AM78" s="43">
        <v>0</v>
      </c>
    </row>
    <row r="79" spans="1:39" x14ac:dyDescent="0.2">
      <c r="A79" s="43" t="s">
        <v>204</v>
      </c>
      <c r="B79" s="43" t="s">
        <v>53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1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1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1</v>
      </c>
      <c r="AJ79" s="43">
        <v>0</v>
      </c>
      <c r="AK79" s="43">
        <v>0</v>
      </c>
      <c r="AL79" s="43">
        <v>1</v>
      </c>
      <c r="AM79" s="43">
        <v>0</v>
      </c>
    </row>
    <row r="80" spans="1:39" x14ac:dyDescent="0.2">
      <c r="A80" s="43" t="s">
        <v>206</v>
      </c>
      <c r="B80" s="43" t="s">
        <v>53</v>
      </c>
      <c r="C80" s="43">
        <v>0</v>
      </c>
      <c r="D80" s="43">
        <v>0.5</v>
      </c>
      <c r="E80" s="43">
        <v>0</v>
      </c>
      <c r="F80" s="43">
        <v>0</v>
      </c>
      <c r="G80" s="43">
        <v>1</v>
      </c>
      <c r="H80" s="43">
        <v>1</v>
      </c>
      <c r="I80" s="43">
        <v>0</v>
      </c>
      <c r="J80" s="43">
        <v>0</v>
      </c>
      <c r="K80" s="43">
        <v>0</v>
      </c>
      <c r="L80" s="43">
        <v>0</v>
      </c>
      <c r="M80" s="43">
        <v>2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1</v>
      </c>
      <c r="X80" s="43">
        <v>0</v>
      </c>
      <c r="Y80" s="43">
        <v>1</v>
      </c>
      <c r="Z80" s="43">
        <v>1</v>
      </c>
      <c r="AA80" s="43">
        <v>0</v>
      </c>
      <c r="AB80" s="43">
        <v>1</v>
      </c>
      <c r="AC80" s="43">
        <v>1</v>
      </c>
      <c r="AD80" s="43">
        <v>1</v>
      </c>
      <c r="AE80" s="43">
        <v>0</v>
      </c>
      <c r="AF80" s="43">
        <v>1</v>
      </c>
      <c r="AG80" s="43">
        <v>1</v>
      </c>
      <c r="AH80" s="43">
        <v>1</v>
      </c>
      <c r="AI80" s="43">
        <v>1</v>
      </c>
      <c r="AJ80" s="43">
        <v>1</v>
      </c>
      <c r="AK80" s="43">
        <v>1</v>
      </c>
      <c r="AL80" s="43">
        <v>0</v>
      </c>
      <c r="AM80" s="43">
        <v>0</v>
      </c>
    </row>
    <row r="81" spans="1:39" x14ac:dyDescent="0.2">
      <c r="A81" s="43" t="s">
        <v>208</v>
      </c>
      <c r="B81" s="43" t="s">
        <v>53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1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0</v>
      </c>
      <c r="AH81" s="43">
        <v>0</v>
      </c>
      <c r="AI81" s="43">
        <v>0</v>
      </c>
      <c r="AJ81" s="43">
        <v>0</v>
      </c>
      <c r="AK81" s="43">
        <v>0</v>
      </c>
      <c r="AL81" s="43">
        <v>1</v>
      </c>
      <c r="AM81" s="43">
        <v>0</v>
      </c>
    </row>
    <row r="82" spans="1:39" x14ac:dyDescent="0.2">
      <c r="A82" s="43" t="s">
        <v>210</v>
      </c>
      <c r="B82" s="43" t="s">
        <v>53</v>
      </c>
      <c r="C82" s="43">
        <v>0</v>
      </c>
      <c r="D82" s="43">
        <v>0</v>
      </c>
      <c r="E82" s="43">
        <v>0</v>
      </c>
      <c r="F82" s="43">
        <v>2</v>
      </c>
      <c r="G82" s="43">
        <v>0</v>
      </c>
      <c r="H82" s="43">
        <v>1</v>
      </c>
      <c r="I82" s="43">
        <v>0</v>
      </c>
      <c r="J82" s="43">
        <v>0</v>
      </c>
      <c r="K82" s="43">
        <v>1</v>
      </c>
      <c r="L82" s="43">
        <v>1</v>
      </c>
      <c r="M82" s="43">
        <v>0</v>
      </c>
      <c r="N82" s="43">
        <v>1</v>
      </c>
      <c r="O82" s="43">
        <v>0</v>
      </c>
      <c r="P82" s="43">
        <v>0</v>
      </c>
      <c r="Q82" s="43">
        <v>0</v>
      </c>
      <c r="R82" s="43">
        <v>0</v>
      </c>
      <c r="S82" s="43">
        <v>1</v>
      </c>
      <c r="T82" s="43">
        <v>0</v>
      </c>
      <c r="U82" s="43">
        <v>0</v>
      </c>
      <c r="V82" s="43">
        <v>0</v>
      </c>
      <c r="W82" s="43">
        <v>1</v>
      </c>
      <c r="X82" s="43">
        <v>0</v>
      </c>
      <c r="Y82" s="43">
        <v>0</v>
      </c>
      <c r="Z82" s="43">
        <v>0</v>
      </c>
      <c r="AA82" s="43">
        <v>1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1</v>
      </c>
      <c r="AH82" s="43">
        <v>0</v>
      </c>
      <c r="AI82" s="43">
        <v>0</v>
      </c>
      <c r="AJ82" s="43">
        <v>0</v>
      </c>
      <c r="AK82" s="43">
        <v>0</v>
      </c>
      <c r="AL82" s="43">
        <v>1</v>
      </c>
      <c r="AM82" s="43">
        <v>0</v>
      </c>
    </row>
    <row r="83" spans="1:39" x14ac:dyDescent="0.2">
      <c r="A83" s="43" t="s">
        <v>212</v>
      </c>
      <c r="B83" s="43" t="s">
        <v>53</v>
      </c>
      <c r="C83" s="43">
        <v>0</v>
      </c>
      <c r="D83" s="43">
        <v>0</v>
      </c>
      <c r="E83" s="43">
        <v>1</v>
      </c>
      <c r="F83" s="43">
        <v>0</v>
      </c>
      <c r="G83" s="43">
        <v>0</v>
      </c>
      <c r="H83" s="43">
        <v>0</v>
      </c>
      <c r="I83" s="43">
        <v>0</v>
      </c>
      <c r="J83" s="43">
        <v>1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  <c r="V83" s="43">
        <v>1</v>
      </c>
      <c r="W83" s="43">
        <v>1</v>
      </c>
      <c r="X83" s="43">
        <v>1</v>
      </c>
      <c r="Y83" s="43">
        <v>1</v>
      </c>
      <c r="Z83" s="43">
        <v>1</v>
      </c>
      <c r="AA83" s="43">
        <v>1</v>
      </c>
      <c r="AB83" s="43">
        <v>1</v>
      </c>
      <c r="AC83" s="43">
        <v>1</v>
      </c>
      <c r="AD83" s="43">
        <v>1</v>
      </c>
      <c r="AE83" s="43">
        <v>1</v>
      </c>
      <c r="AF83" s="43">
        <v>1</v>
      </c>
      <c r="AG83" s="43">
        <v>1</v>
      </c>
      <c r="AH83" s="43">
        <v>1</v>
      </c>
      <c r="AI83" s="43">
        <v>1</v>
      </c>
      <c r="AJ83" s="43">
        <v>1</v>
      </c>
      <c r="AK83" s="43">
        <v>1</v>
      </c>
      <c r="AL83" s="43">
        <v>1</v>
      </c>
      <c r="AM83" s="43">
        <v>0</v>
      </c>
    </row>
    <row r="84" spans="1:39" x14ac:dyDescent="0.2">
      <c r="A84" s="43" t="s">
        <v>214</v>
      </c>
      <c r="B84" s="43" t="s">
        <v>53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2</v>
      </c>
      <c r="I84" s="43">
        <v>0</v>
      </c>
      <c r="J84" s="43">
        <v>0</v>
      </c>
      <c r="K84" s="43">
        <v>2</v>
      </c>
      <c r="L84" s="43">
        <v>0</v>
      </c>
      <c r="M84" s="43">
        <v>1</v>
      </c>
      <c r="N84" s="43">
        <v>2</v>
      </c>
      <c r="O84" s="43">
        <v>1</v>
      </c>
      <c r="P84" s="43">
        <v>0</v>
      </c>
      <c r="Q84" s="43">
        <v>1</v>
      </c>
      <c r="R84" s="43">
        <v>0</v>
      </c>
      <c r="S84" s="43">
        <v>1</v>
      </c>
      <c r="T84" s="43">
        <v>0</v>
      </c>
      <c r="U84" s="43">
        <v>1</v>
      </c>
      <c r="V84" s="43">
        <v>0</v>
      </c>
      <c r="W84" s="43">
        <v>1</v>
      </c>
      <c r="X84" s="43">
        <v>1</v>
      </c>
      <c r="Y84" s="43">
        <v>1</v>
      </c>
      <c r="Z84" s="43">
        <v>0</v>
      </c>
      <c r="AA84" s="43">
        <v>1</v>
      </c>
      <c r="AB84" s="43">
        <v>0</v>
      </c>
      <c r="AC84" s="43">
        <v>1</v>
      </c>
      <c r="AD84" s="43">
        <v>0</v>
      </c>
      <c r="AE84" s="43">
        <v>1</v>
      </c>
      <c r="AF84" s="43">
        <v>0</v>
      </c>
      <c r="AG84" s="43">
        <v>1</v>
      </c>
      <c r="AH84" s="43">
        <v>0</v>
      </c>
      <c r="AI84" s="43">
        <v>1</v>
      </c>
      <c r="AJ84" s="43">
        <v>0</v>
      </c>
      <c r="AK84" s="43">
        <v>1</v>
      </c>
      <c r="AL84" s="43">
        <v>0</v>
      </c>
      <c r="AM84" s="43">
        <v>0</v>
      </c>
    </row>
    <row r="85" spans="1:39" x14ac:dyDescent="0.2">
      <c r="A85" s="43" t="s">
        <v>216</v>
      </c>
      <c r="B85" s="43" t="s">
        <v>53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1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1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1</v>
      </c>
      <c r="AM85" s="43">
        <v>0</v>
      </c>
    </row>
    <row r="86" spans="1:39" x14ac:dyDescent="0.2">
      <c r="A86" s="43" t="s">
        <v>218</v>
      </c>
      <c r="B86" s="43" t="s">
        <v>53</v>
      </c>
      <c r="C86" s="43">
        <v>0</v>
      </c>
      <c r="D86" s="43">
        <v>0</v>
      </c>
      <c r="E86" s="43">
        <v>0</v>
      </c>
      <c r="F86" s="43">
        <v>0</v>
      </c>
      <c r="G86" s="43">
        <v>1</v>
      </c>
      <c r="H86" s="43">
        <v>0</v>
      </c>
      <c r="I86" s="43">
        <v>0</v>
      </c>
      <c r="J86" s="43">
        <v>0</v>
      </c>
      <c r="K86" s="43">
        <v>1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1</v>
      </c>
      <c r="R86" s="43">
        <v>1</v>
      </c>
      <c r="S86" s="43">
        <v>1</v>
      </c>
      <c r="T86" s="43">
        <v>1</v>
      </c>
      <c r="U86" s="43">
        <v>1</v>
      </c>
      <c r="V86" s="43">
        <v>1</v>
      </c>
      <c r="W86" s="43">
        <v>1</v>
      </c>
      <c r="X86" s="43">
        <v>1</v>
      </c>
      <c r="Y86" s="43">
        <v>1</v>
      </c>
      <c r="Z86" s="43">
        <v>1</v>
      </c>
      <c r="AA86" s="43">
        <v>1</v>
      </c>
      <c r="AB86" s="43">
        <v>1</v>
      </c>
      <c r="AC86" s="43">
        <v>1</v>
      </c>
      <c r="AD86" s="43">
        <v>1</v>
      </c>
      <c r="AE86" s="43">
        <v>1</v>
      </c>
      <c r="AF86" s="43">
        <v>1</v>
      </c>
      <c r="AG86" s="43">
        <v>1</v>
      </c>
      <c r="AH86" s="43">
        <v>1</v>
      </c>
      <c r="AI86" s="43">
        <v>1</v>
      </c>
      <c r="AJ86" s="43">
        <v>1</v>
      </c>
      <c r="AK86" s="43">
        <v>0</v>
      </c>
      <c r="AL86" s="43">
        <v>1</v>
      </c>
      <c r="AM86" s="43">
        <v>0</v>
      </c>
    </row>
    <row r="87" spans="1:39" x14ac:dyDescent="0.2">
      <c r="A87" s="43" t="s">
        <v>220</v>
      </c>
      <c r="B87" s="43" t="s">
        <v>53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1</v>
      </c>
      <c r="L87" s="43">
        <v>1</v>
      </c>
      <c r="M87" s="43">
        <v>1</v>
      </c>
      <c r="N87" s="43">
        <v>2</v>
      </c>
      <c r="O87" s="43">
        <v>0</v>
      </c>
      <c r="P87" s="43">
        <v>0</v>
      </c>
      <c r="Q87" s="43">
        <v>1</v>
      </c>
      <c r="R87" s="43">
        <v>0</v>
      </c>
      <c r="S87" s="43">
        <v>0</v>
      </c>
      <c r="T87" s="43">
        <v>0</v>
      </c>
      <c r="U87" s="43">
        <v>1</v>
      </c>
      <c r="V87" s="43">
        <v>0</v>
      </c>
      <c r="W87" s="43">
        <v>0</v>
      </c>
      <c r="X87" s="43">
        <v>1</v>
      </c>
      <c r="Y87" s="43">
        <v>0</v>
      </c>
      <c r="Z87" s="43">
        <v>1</v>
      </c>
      <c r="AA87" s="43">
        <v>1</v>
      </c>
      <c r="AB87" s="43">
        <v>0</v>
      </c>
      <c r="AC87" s="43">
        <v>1</v>
      </c>
      <c r="AD87" s="43">
        <v>1</v>
      </c>
      <c r="AE87" s="43">
        <v>1</v>
      </c>
      <c r="AF87" s="43">
        <v>0</v>
      </c>
      <c r="AG87" s="43">
        <v>1</v>
      </c>
      <c r="AH87" s="43">
        <v>0</v>
      </c>
      <c r="AI87" s="43">
        <v>1</v>
      </c>
      <c r="AJ87" s="43">
        <v>0</v>
      </c>
      <c r="AK87" s="43">
        <v>1</v>
      </c>
      <c r="AL87" s="43">
        <v>0</v>
      </c>
      <c r="AM87" s="43">
        <v>0</v>
      </c>
    </row>
    <row r="88" spans="1:39" x14ac:dyDescent="0.2">
      <c r="A88" s="43" t="s">
        <v>222</v>
      </c>
      <c r="B88" s="43" t="s">
        <v>53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  <c r="V88" s="43">
        <v>0</v>
      </c>
      <c r="W88" s="43">
        <v>1</v>
      </c>
      <c r="X88" s="43">
        <v>1</v>
      </c>
      <c r="Y88" s="43">
        <v>1</v>
      </c>
      <c r="Z88" s="43">
        <v>1</v>
      </c>
      <c r="AA88" s="43">
        <v>1</v>
      </c>
      <c r="AB88" s="43">
        <v>1</v>
      </c>
      <c r="AC88" s="43">
        <v>1</v>
      </c>
      <c r="AD88" s="43">
        <v>1</v>
      </c>
      <c r="AE88" s="43">
        <v>1</v>
      </c>
      <c r="AF88" s="43">
        <v>2</v>
      </c>
      <c r="AG88" s="43">
        <v>1</v>
      </c>
      <c r="AH88" s="43">
        <v>1</v>
      </c>
      <c r="AI88" s="43">
        <v>1</v>
      </c>
      <c r="AJ88" s="43">
        <v>1</v>
      </c>
      <c r="AK88" s="43">
        <v>1</v>
      </c>
      <c r="AL88" s="43">
        <v>1</v>
      </c>
      <c r="AM88" s="43">
        <v>0</v>
      </c>
    </row>
    <row r="89" spans="1:39" x14ac:dyDescent="0.2">
      <c r="A89" s="43" t="s">
        <v>224</v>
      </c>
      <c r="B89" s="43" t="s">
        <v>53</v>
      </c>
      <c r="C89" s="43">
        <v>0</v>
      </c>
      <c r="D89" s="43">
        <v>1</v>
      </c>
      <c r="E89" s="43">
        <v>0</v>
      </c>
      <c r="F89" s="43">
        <v>0</v>
      </c>
      <c r="G89" s="43">
        <v>0</v>
      </c>
      <c r="H89" s="43">
        <v>0</v>
      </c>
      <c r="I89" s="43">
        <v>1</v>
      </c>
      <c r="J89" s="43">
        <v>1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1</v>
      </c>
      <c r="R89" s="43">
        <v>0</v>
      </c>
      <c r="S89" s="43">
        <v>1</v>
      </c>
      <c r="T89" s="43">
        <v>0</v>
      </c>
      <c r="U89" s="43">
        <v>0</v>
      </c>
      <c r="V89" s="43">
        <v>0</v>
      </c>
      <c r="W89" s="43">
        <v>0</v>
      </c>
      <c r="X89" s="43">
        <v>0</v>
      </c>
      <c r="Y89" s="43">
        <v>1</v>
      </c>
      <c r="Z89" s="43">
        <v>0</v>
      </c>
      <c r="AA89" s="43">
        <v>0</v>
      </c>
      <c r="AB89" s="43">
        <v>1</v>
      </c>
      <c r="AC89" s="43">
        <v>0</v>
      </c>
      <c r="AD89" s="43">
        <v>1</v>
      </c>
      <c r="AE89" s="43">
        <v>0</v>
      </c>
      <c r="AF89" s="43">
        <v>1</v>
      </c>
      <c r="AG89" s="43">
        <v>0</v>
      </c>
      <c r="AH89" s="43">
        <v>0</v>
      </c>
      <c r="AI89" s="43">
        <v>0</v>
      </c>
      <c r="AJ89" s="43">
        <v>0</v>
      </c>
      <c r="AK89" s="43">
        <v>0</v>
      </c>
      <c r="AL89" s="43">
        <v>0</v>
      </c>
      <c r="AM89" s="43">
        <v>0</v>
      </c>
    </row>
    <row r="90" spans="1:39" x14ac:dyDescent="0.2">
      <c r="A90" s="43" t="s">
        <v>226</v>
      </c>
      <c r="B90" s="43" t="s">
        <v>53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1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1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1</v>
      </c>
      <c r="AB90" s="43">
        <v>0</v>
      </c>
      <c r="AC90" s="43">
        <v>0</v>
      </c>
      <c r="AD90" s="43">
        <v>0</v>
      </c>
      <c r="AE90" s="43">
        <v>0</v>
      </c>
      <c r="AF90" s="43">
        <v>0</v>
      </c>
      <c r="AG90" s="43">
        <v>1</v>
      </c>
      <c r="AH90" s="43">
        <v>0</v>
      </c>
      <c r="AI90" s="43">
        <v>0</v>
      </c>
      <c r="AJ90" s="43">
        <v>0</v>
      </c>
      <c r="AK90" s="43">
        <v>0</v>
      </c>
      <c r="AL90" s="43">
        <v>1</v>
      </c>
      <c r="AM90" s="43">
        <v>0</v>
      </c>
    </row>
    <row r="91" spans="1:39" x14ac:dyDescent="0.2">
      <c r="A91" s="43" t="s">
        <v>228</v>
      </c>
      <c r="B91" s="43" t="s">
        <v>53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1</v>
      </c>
      <c r="U91" s="43">
        <v>0</v>
      </c>
      <c r="V91" s="43">
        <v>0</v>
      </c>
      <c r="W91" s="43">
        <v>1</v>
      </c>
      <c r="X91" s="43">
        <v>0</v>
      </c>
      <c r="Y91" s="43">
        <v>1</v>
      </c>
      <c r="Z91" s="43">
        <v>0</v>
      </c>
      <c r="AA91" s="43">
        <v>0</v>
      </c>
      <c r="AB91" s="43">
        <v>1</v>
      </c>
      <c r="AC91" s="43">
        <v>0</v>
      </c>
      <c r="AD91" s="43">
        <v>0</v>
      </c>
      <c r="AE91" s="43">
        <v>1</v>
      </c>
      <c r="AF91" s="43">
        <v>0</v>
      </c>
      <c r="AG91" s="43">
        <v>0</v>
      </c>
      <c r="AH91" s="43">
        <v>1</v>
      </c>
      <c r="AI91" s="43">
        <v>0</v>
      </c>
      <c r="AJ91" s="43">
        <v>1</v>
      </c>
      <c r="AK91" s="43">
        <v>0</v>
      </c>
      <c r="AL91" s="43">
        <v>0</v>
      </c>
      <c r="AM91" s="43">
        <v>0</v>
      </c>
    </row>
    <row r="92" spans="1:39" x14ac:dyDescent="0.2">
      <c r="A92" s="43" t="s">
        <v>230</v>
      </c>
      <c r="B92" s="43" t="s">
        <v>53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2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1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1</v>
      </c>
      <c r="AC92" s="43">
        <v>0</v>
      </c>
      <c r="AD92" s="43">
        <v>0</v>
      </c>
      <c r="AE92" s="43">
        <v>0</v>
      </c>
      <c r="AF92" s="43">
        <v>0</v>
      </c>
      <c r="AG92" s="43">
        <v>0</v>
      </c>
      <c r="AH92" s="43">
        <v>1</v>
      </c>
      <c r="AI92" s="43">
        <v>0</v>
      </c>
      <c r="AJ92" s="43">
        <v>0</v>
      </c>
      <c r="AK92" s="43">
        <v>0</v>
      </c>
      <c r="AL92" s="43">
        <v>0</v>
      </c>
      <c r="AM92" s="43">
        <v>0</v>
      </c>
    </row>
    <row r="93" spans="1:39" x14ac:dyDescent="0.2">
      <c r="A93" s="43" t="s">
        <v>232</v>
      </c>
      <c r="B93" s="43" t="s">
        <v>53</v>
      </c>
      <c r="C93" s="43">
        <v>0</v>
      </c>
      <c r="D93" s="43">
        <v>0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  <c r="V93" s="43">
        <v>0</v>
      </c>
      <c r="W93" s="43">
        <v>0</v>
      </c>
      <c r="X93" s="43">
        <v>0</v>
      </c>
      <c r="Y93" s="43">
        <v>1</v>
      </c>
      <c r="Z93" s="43">
        <v>0</v>
      </c>
      <c r="AA93" s="43">
        <v>0</v>
      </c>
      <c r="AB93" s="43">
        <v>0</v>
      </c>
      <c r="AC93" s="43">
        <v>0</v>
      </c>
      <c r="AD93" s="43">
        <v>0</v>
      </c>
      <c r="AE93" s="43">
        <v>1</v>
      </c>
      <c r="AF93" s="43">
        <v>0</v>
      </c>
      <c r="AG93" s="43">
        <v>0</v>
      </c>
      <c r="AH93" s="43">
        <v>0</v>
      </c>
      <c r="AI93" s="43">
        <v>0</v>
      </c>
      <c r="AJ93" s="43">
        <v>0</v>
      </c>
      <c r="AK93" s="43">
        <v>0</v>
      </c>
      <c r="AL93" s="43">
        <v>0</v>
      </c>
      <c r="AM93" s="43">
        <v>0</v>
      </c>
    </row>
    <row r="94" spans="1:39" x14ac:dyDescent="0.2">
      <c r="A94" s="43" t="s">
        <v>234</v>
      </c>
      <c r="B94" s="43" t="s">
        <v>53</v>
      </c>
      <c r="C94" s="43">
        <v>0</v>
      </c>
      <c r="D94" s="43">
        <v>2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1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1</v>
      </c>
      <c r="W94" s="43">
        <v>0</v>
      </c>
      <c r="X94" s="43">
        <v>0</v>
      </c>
      <c r="Y94" s="43">
        <v>0</v>
      </c>
      <c r="Z94" s="43">
        <v>0</v>
      </c>
      <c r="AA94" s="43">
        <v>0</v>
      </c>
      <c r="AB94" s="43">
        <v>0</v>
      </c>
      <c r="AC94" s="43">
        <v>1</v>
      </c>
      <c r="AD94" s="43">
        <v>1</v>
      </c>
      <c r="AE94" s="43">
        <v>1</v>
      </c>
      <c r="AF94" s="43">
        <v>1</v>
      </c>
      <c r="AG94" s="43">
        <v>1</v>
      </c>
      <c r="AH94" s="43">
        <v>1</v>
      </c>
      <c r="AJ94" s="43">
        <v>0</v>
      </c>
      <c r="AK94" s="43">
        <v>0</v>
      </c>
      <c r="AL94" s="43">
        <v>1</v>
      </c>
      <c r="AM94" s="43">
        <v>0</v>
      </c>
    </row>
    <row r="95" spans="1:39" x14ac:dyDescent="0.2">
      <c r="A95" s="43" t="s">
        <v>236</v>
      </c>
      <c r="B95" s="43" t="s">
        <v>53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2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>
        <v>0</v>
      </c>
      <c r="AA95" s="43">
        <v>0</v>
      </c>
      <c r="AB95" s="43">
        <v>1</v>
      </c>
      <c r="AC95" s="43">
        <v>0</v>
      </c>
      <c r="AD95" s="43">
        <v>0</v>
      </c>
      <c r="AE95" s="43">
        <v>0</v>
      </c>
      <c r="AF95" s="43">
        <v>0</v>
      </c>
      <c r="AG95" s="43">
        <v>1</v>
      </c>
      <c r="AH95" s="43">
        <v>0</v>
      </c>
      <c r="AI95" s="43">
        <v>1</v>
      </c>
      <c r="AJ95" s="43">
        <v>0</v>
      </c>
      <c r="AK95" s="43">
        <v>0</v>
      </c>
      <c r="AL95" s="43">
        <v>0</v>
      </c>
      <c r="AM95" s="43">
        <v>0</v>
      </c>
    </row>
    <row r="96" spans="1:39" x14ac:dyDescent="0.2">
      <c r="A96" s="43" t="s">
        <v>238</v>
      </c>
      <c r="B96" s="43" t="s">
        <v>53</v>
      </c>
      <c r="C96" s="43">
        <v>0</v>
      </c>
      <c r="D96" s="43">
        <v>0</v>
      </c>
      <c r="E96" s="43">
        <v>1</v>
      </c>
      <c r="F96" s="43">
        <v>0</v>
      </c>
      <c r="G96" s="43">
        <v>0</v>
      </c>
      <c r="H96" s="43">
        <v>0.5</v>
      </c>
      <c r="I96" s="43">
        <v>0</v>
      </c>
      <c r="J96" s="43">
        <v>0</v>
      </c>
      <c r="K96" s="43">
        <v>2</v>
      </c>
      <c r="L96" s="43">
        <v>0</v>
      </c>
      <c r="M96" s="43">
        <v>2</v>
      </c>
      <c r="N96" s="43">
        <v>1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1</v>
      </c>
      <c r="Y96" s="43">
        <v>0</v>
      </c>
      <c r="Z96" s="43">
        <v>1</v>
      </c>
      <c r="AA96" s="43">
        <v>0</v>
      </c>
      <c r="AB96" s="43">
        <v>0</v>
      </c>
      <c r="AC96" s="43">
        <v>0</v>
      </c>
      <c r="AD96" s="43">
        <v>1</v>
      </c>
      <c r="AE96" s="43">
        <v>0</v>
      </c>
      <c r="AF96" s="43">
        <v>0</v>
      </c>
      <c r="AG96" s="43">
        <v>1</v>
      </c>
      <c r="AH96" s="43">
        <v>0</v>
      </c>
      <c r="AI96" s="43">
        <v>0</v>
      </c>
      <c r="AJ96" s="43">
        <v>0</v>
      </c>
      <c r="AK96" s="43">
        <v>1</v>
      </c>
      <c r="AL96" s="43">
        <v>0</v>
      </c>
      <c r="AM96" s="43">
        <v>0</v>
      </c>
    </row>
    <row r="97" spans="1:39" x14ac:dyDescent="0.2">
      <c r="A97" s="43" t="s">
        <v>240</v>
      </c>
      <c r="B97" s="43" t="s">
        <v>53</v>
      </c>
      <c r="C97" s="43">
        <v>0</v>
      </c>
      <c r="D97" s="43">
        <v>1</v>
      </c>
      <c r="E97" s="43">
        <v>1</v>
      </c>
      <c r="F97" s="43">
        <v>0</v>
      </c>
      <c r="G97" s="43">
        <v>0</v>
      </c>
      <c r="H97" s="43">
        <v>0</v>
      </c>
      <c r="I97" s="43">
        <v>1</v>
      </c>
      <c r="J97" s="43">
        <v>0</v>
      </c>
      <c r="K97" s="43">
        <v>1</v>
      </c>
      <c r="L97" s="43">
        <v>2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1</v>
      </c>
      <c r="W97" s="43">
        <v>0</v>
      </c>
      <c r="X97" s="43">
        <v>0</v>
      </c>
      <c r="Y97" s="43">
        <v>1</v>
      </c>
      <c r="Z97" s="43">
        <v>1</v>
      </c>
      <c r="AA97" s="43">
        <v>1</v>
      </c>
      <c r="AB97" s="43">
        <v>1</v>
      </c>
      <c r="AC97" s="43">
        <v>1</v>
      </c>
      <c r="AD97" s="43">
        <v>0</v>
      </c>
      <c r="AE97" s="43">
        <v>1</v>
      </c>
      <c r="AF97" s="43">
        <v>0</v>
      </c>
      <c r="AG97" s="43">
        <v>0</v>
      </c>
      <c r="AH97" s="43">
        <v>1</v>
      </c>
      <c r="AI97" s="43">
        <v>0</v>
      </c>
      <c r="AJ97" s="43">
        <v>0</v>
      </c>
      <c r="AK97" s="43">
        <v>1</v>
      </c>
      <c r="AL97" s="43">
        <v>0</v>
      </c>
      <c r="AM97" s="43">
        <v>0</v>
      </c>
    </row>
    <row r="98" spans="1:39" x14ac:dyDescent="0.2">
      <c r="A98" s="43" t="s">
        <v>242</v>
      </c>
      <c r="B98" s="43" t="s">
        <v>53</v>
      </c>
      <c r="C98" s="43">
        <v>0</v>
      </c>
      <c r="D98" s="43">
        <v>1</v>
      </c>
      <c r="E98" s="43">
        <v>1</v>
      </c>
      <c r="F98" s="43">
        <v>1</v>
      </c>
      <c r="G98" s="43">
        <v>0</v>
      </c>
      <c r="H98" s="43">
        <v>0</v>
      </c>
      <c r="I98" s="43">
        <v>1</v>
      </c>
      <c r="J98" s="43">
        <v>2</v>
      </c>
      <c r="K98" s="43">
        <v>0</v>
      </c>
      <c r="L98" s="43">
        <v>1</v>
      </c>
      <c r="M98" s="43">
        <v>0</v>
      </c>
      <c r="N98" s="43">
        <v>0</v>
      </c>
      <c r="O98" s="43">
        <v>0</v>
      </c>
      <c r="P98" s="43">
        <v>0</v>
      </c>
      <c r="Q98" s="43">
        <v>1</v>
      </c>
      <c r="R98" s="43">
        <v>0</v>
      </c>
      <c r="S98" s="43">
        <v>0</v>
      </c>
      <c r="T98" s="43">
        <v>1</v>
      </c>
      <c r="U98" s="43">
        <v>0</v>
      </c>
      <c r="V98" s="43">
        <v>0</v>
      </c>
      <c r="W98" s="43">
        <v>1</v>
      </c>
      <c r="X98" s="43">
        <v>1</v>
      </c>
      <c r="Y98" s="43">
        <v>0</v>
      </c>
      <c r="Z98" s="43">
        <v>1</v>
      </c>
      <c r="AA98" s="43">
        <v>1</v>
      </c>
      <c r="AB98" s="43">
        <v>0</v>
      </c>
      <c r="AC98" s="43">
        <v>1</v>
      </c>
      <c r="AD98" s="43">
        <v>1</v>
      </c>
      <c r="AE98" s="43">
        <v>1</v>
      </c>
      <c r="AF98" s="43">
        <v>1</v>
      </c>
      <c r="AG98" s="43">
        <v>1</v>
      </c>
      <c r="AH98" s="43">
        <v>1</v>
      </c>
      <c r="AI98" s="43">
        <v>0</v>
      </c>
      <c r="AJ98" s="43">
        <v>0</v>
      </c>
      <c r="AK98" s="43">
        <v>1</v>
      </c>
      <c r="AL98" s="43">
        <v>0</v>
      </c>
      <c r="AM98" s="43">
        <v>0</v>
      </c>
    </row>
    <row r="99" spans="1:39" x14ac:dyDescent="0.2">
      <c r="A99" s="43" t="s">
        <v>244</v>
      </c>
      <c r="B99" s="43" t="s">
        <v>53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0</v>
      </c>
      <c r="W99" s="43">
        <v>0</v>
      </c>
      <c r="X99" s="43">
        <v>0</v>
      </c>
      <c r="Y99" s="43">
        <v>1</v>
      </c>
      <c r="Z99" s="43">
        <v>0</v>
      </c>
      <c r="AA99" s="43">
        <v>0</v>
      </c>
      <c r="AB99" s="43">
        <v>0</v>
      </c>
      <c r="AC99" s="43">
        <v>0</v>
      </c>
      <c r="AD99" s="43">
        <v>0</v>
      </c>
      <c r="AE99" s="43">
        <v>0</v>
      </c>
      <c r="AF99" s="43">
        <v>1</v>
      </c>
      <c r="AG99" s="43">
        <v>0</v>
      </c>
      <c r="AH99" s="43">
        <v>0</v>
      </c>
      <c r="AI99" s="43">
        <v>0</v>
      </c>
      <c r="AJ99" s="43">
        <v>0</v>
      </c>
      <c r="AK99" s="43">
        <v>0</v>
      </c>
      <c r="AL99" s="43">
        <v>0</v>
      </c>
      <c r="AM99" s="43">
        <v>0</v>
      </c>
    </row>
    <row r="100" spans="1:39" x14ac:dyDescent="0.2">
      <c r="A100" s="43" t="s">
        <v>246</v>
      </c>
      <c r="B100" s="43" t="s">
        <v>53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1</v>
      </c>
      <c r="I100" s="43">
        <v>1</v>
      </c>
      <c r="J100" s="43">
        <v>2</v>
      </c>
      <c r="K100" s="43">
        <v>0</v>
      </c>
      <c r="L100" s="43">
        <v>0</v>
      </c>
      <c r="M100" s="43">
        <v>0</v>
      </c>
      <c r="N100" s="43">
        <v>2</v>
      </c>
      <c r="O100" s="43">
        <v>0</v>
      </c>
      <c r="P100" s="43">
        <v>0</v>
      </c>
      <c r="Q100" s="43">
        <v>1</v>
      </c>
      <c r="R100" s="43">
        <v>1</v>
      </c>
      <c r="S100" s="43">
        <v>1</v>
      </c>
      <c r="T100" s="43">
        <v>1</v>
      </c>
      <c r="U100" s="43">
        <v>1</v>
      </c>
      <c r="V100" s="43">
        <v>1</v>
      </c>
      <c r="W100" s="43">
        <v>1</v>
      </c>
      <c r="X100" s="43">
        <v>1</v>
      </c>
      <c r="Y100" s="43">
        <v>1</v>
      </c>
      <c r="Z100" s="43">
        <v>1</v>
      </c>
      <c r="AA100" s="43">
        <v>1</v>
      </c>
      <c r="AB100" s="43">
        <v>1</v>
      </c>
      <c r="AC100" s="43">
        <v>1</v>
      </c>
      <c r="AD100" s="43">
        <v>1</v>
      </c>
      <c r="AE100" s="43">
        <v>1</v>
      </c>
      <c r="AF100" s="43">
        <v>1</v>
      </c>
      <c r="AG100" s="43">
        <v>1</v>
      </c>
      <c r="AH100" s="43">
        <v>1</v>
      </c>
      <c r="AI100" s="43">
        <v>1</v>
      </c>
      <c r="AJ100" s="43">
        <v>1</v>
      </c>
      <c r="AK100" s="43">
        <v>1</v>
      </c>
      <c r="AL100" s="43">
        <v>0</v>
      </c>
      <c r="AM100" s="43">
        <v>0</v>
      </c>
    </row>
    <row r="101" spans="1:39" x14ac:dyDescent="0.2">
      <c r="A101" s="43" t="s">
        <v>248</v>
      </c>
      <c r="B101" s="43" t="s">
        <v>53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0.5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1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</row>
    <row r="102" spans="1:39" x14ac:dyDescent="0.2">
      <c r="A102" s="43" t="s">
        <v>250</v>
      </c>
      <c r="B102" s="43" t="s">
        <v>53</v>
      </c>
      <c r="C102" s="43">
        <v>0</v>
      </c>
      <c r="D102" s="43">
        <v>1</v>
      </c>
      <c r="E102" s="43">
        <v>1</v>
      </c>
      <c r="F102" s="43">
        <v>1</v>
      </c>
      <c r="G102" s="43">
        <v>1</v>
      </c>
      <c r="H102" s="43">
        <v>1</v>
      </c>
      <c r="I102" s="43">
        <v>2</v>
      </c>
      <c r="J102" s="43">
        <v>1</v>
      </c>
      <c r="K102" s="43">
        <v>1</v>
      </c>
      <c r="L102" s="43">
        <v>1</v>
      </c>
      <c r="M102" s="43">
        <v>1</v>
      </c>
      <c r="N102" s="43">
        <v>2</v>
      </c>
      <c r="O102" s="43">
        <v>0</v>
      </c>
      <c r="P102" s="43">
        <v>0</v>
      </c>
      <c r="Q102" s="43">
        <v>0</v>
      </c>
      <c r="R102" s="43">
        <v>1</v>
      </c>
      <c r="S102" s="43">
        <v>0</v>
      </c>
      <c r="T102" s="43">
        <v>1</v>
      </c>
      <c r="U102" s="43">
        <v>1</v>
      </c>
      <c r="V102" s="43">
        <v>1</v>
      </c>
      <c r="W102" s="43">
        <v>1</v>
      </c>
      <c r="X102" s="43">
        <v>1</v>
      </c>
      <c r="Y102" s="43">
        <v>1</v>
      </c>
      <c r="Z102" s="43">
        <v>1</v>
      </c>
      <c r="AA102" s="43">
        <v>1</v>
      </c>
      <c r="AB102" s="43">
        <v>1</v>
      </c>
      <c r="AC102" s="43">
        <v>1</v>
      </c>
      <c r="AD102" s="43">
        <v>1</v>
      </c>
      <c r="AE102" s="43">
        <v>1</v>
      </c>
      <c r="AF102" s="43">
        <v>1</v>
      </c>
      <c r="AG102" s="43">
        <v>1</v>
      </c>
      <c r="AH102" s="43">
        <v>1</v>
      </c>
      <c r="AI102" s="43">
        <v>1</v>
      </c>
      <c r="AJ102" s="43">
        <v>1</v>
      </c>
      <c r="AK102" s="43">
        <v>1</v>
      </c>
      <c r="AL102" s="43">
        <v>1</v>
      </c>
      <c r="AM102" s="43">
        <v>0</v>
      </c>
    </row>
    <row r="103" spans="1:39" x14ac:dyDescent="0.2">
      <c r="A103" s="43" t="s">
        <v>252</v>
      </c>
      <c r="B103" s="43" t="s">
        <v>53</v>
      </c>
      <c r="C103" s="43">
        <v>0</v>
      </c>
      <c r="D103" s="43">
        <v>1</v>
      </c>
      <c r="E103" s="43">
        <v>1</v>
      </c>
      <c r="F103" s="43">
        <v>0</v>
      </c>
      <c r="G103" s="43">
        <v>0</v>
      </c>
      <c r="H103" s="43">
        <v>0</v>
      </c>
      <c r="I103" s="43">
        <v>2</v>
      </c>
      <c r="J103" s="43">
        <v>1</v>
      </c>
      <c r="K103" s="43">
        <v>0</v>
      </c>
      <c r="L103" s="43">
        <v>0</v>
      </c>
      <c r="M103" s="43">
        <v>2</v>
      </c>
      <c r="N103" s="43">
        <v>1</v>
      </c>
      <c r="O103" s="43">
        <v>0</v>
      </c>
      <c r="P103" s="43">
        <v>0</v>
      </c>
      <c r="Q103" s="43">
        <v>1</v>
      </c>
      <c r="R103" s="43">
        <v>1</v>
      </c>
      <c r="S103" s="43">
        <v>1</v>
      </c>
      <c r="T103" s="43">
        <v>1</v>
      </c>
      <c r="U103" s="43">
        <v>1</v>
      </c>
      <c r="V103" s="43">
        <v>1</v>
      </c>
      <c r="W103" s="43">
        <v>1</v>
      </c>
      <c r="X103" s="43">
        <v>1</v>
      </c>
      <c r="Y103" s="43">
        <v>1</v>
      </c>
      <c r="Z103" s="43">
        <v>1</v>
      </c>
      <c r="AA103" s="43">
        <v>1</v>
      </c>
      <c r="AB103" s="43">
        <v>1</v>
      </c>
      <c r="AC103" s="43">
        <v>1</v>
      </c>
      <c r="AD103" s="43">
        <v>1</v>
      </c>
      <c r="AE103" s="43">
        <v>1</v>
      </c>
      <c r="AF103" s="43">
        <v>1</v>
      </c>
      <c r="AG103" s="43">
        <v>1</v>
      </c>
      <c r="AH103" s="43">
        <v>1</v>
      </c>
      <c r="AI103" s="43">
        <v>1</v>
      </c>
      <c r="AJ103" s="43">
        <v>1</v>
      </c>
      <c r="AK103" s="43">
        <v>1</v>
      </c>
      <c r="AL103" s="43">
        <v>0</v>
      </c>
      <c r="AM103" s="43">
        <v>0</v>
      </c>
    </row>
    <row r="104" spans="1:39" x14ac:dyDescent="0.2">
      <c r="A104" s="43" t="s">
        <v>254</v>
      </c>
      <c r="B104" s="43" t="s">
        <v>53</v>
      </c>
      <c r="C104" s="43">
        <v>0</v>
      </c>
      <c r="D104" s="43">
        <v>2</v>
      </c>
      <c r="E104" s="43">
        <v>0</v>
      </c>
      <c r="F104" s="43">
        <v>0</v>
      </c>
      <c r="G104" s="43">
        <v>2</v>
      </c>
      <c r="H104" s="43">
        <v>0</v>
      </c>
      <c r="I104" s="43">
        <v>0</v>
      </c>
      <c r="J104" s="43">
        <v>2</v>
      </c>
      <c r="K104" s="43">
        <v>0</v>
      </c>
      <c r="L104" s="43">
        <v>0</v>
      </c>
      <c r="M104" s="43">
        <v>2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1</v>
      </c>
      <c r="T104" s="43">
        <v>0</v>
      </c>
      <c r="U104" s="43">
        <v>0</v>
      </c>
      <c r="V104" s="43">
        <v>1</v>
      </c>
      <c r="W104" s="43">
        <v>0</v>
      </c>
      <c r="X104" s="43">
        <v>0</v>
      </c>
      <c r="Y104" s="43">
        <v>1</v>
      </c>
      <c r="Z104" s="43">
        <v>1</v>
      </c>
      <c r="AA104" s="43">
        <v>1</v>
      </c>
      <c r="AB104" s="43">
        <v>1</v>
      </c>
      <c r="AC104" s="43">
        <v>1</v>
      </c>
      <c r="AD104" s="43">
        <v>1</v>
      </c>
      <c r="AE104" s="43">
        <v>1</v>
      </c>
      <c r="AF104" s="43">
        <v>1</v>
      </c>
      <c r="AG104" s="43">
        <v>1</v>
      </c>
      <c r="AH104" s="43">
        <v>1</v>
      </c>
      <c r="AI104" s="43">
        <v>1</v>
      </c>
      <c r="AJ104" s="43">
        <v>1</v>
      </c>
      <c r="AK104" s="43">
        <v>1</v>
      </c>
      <c r="AL104" s="43">
        <v>1</v>
      </c>
      <c r="AM104" s="43">
        <v>0</v>
      </c>
    </row>
    <row r="105" spans="1:39" x14ac:dyDescent="0.2">
      <c r="A105" s="43" t="s">
        <v>256</v>
      </c>
      <c r="B105" s="43" t="s">
        <v>53</v>
      </c>
      <c r="C105" s="43">
        <v>0</v>
      </c>
      <c r="D105" s="43">
        <v>2</v>
      </c>
      <c r="E105" s="43">
        <v>1</v>
      </c>
      <c r="F105" s="43">
        <v>2</v>
      </c>
      <c r="G105" s="43">
        <v>0</v>
      </c>
      <c r="H105" s="43">
        <v>2</v>
      </c>
      <c r="I105" s="43">
        <v>1</v>
      </c>
      <c r="J105" s="43">
        <v>1</v>
      </c>
      <c r="K105" s="43">
        <v>2</v>
      </c>
      <c r="L105" s="43">
        <v>2</v>
      </c>
      <c r="M105" s="43">
        <v>1</v>
      </c>
      <c r="N105" s="43">
        <v>1</v>
      </c>
      <c r="O105" s="43">
        <v>0</v>
      </c>
      <c r="P105" s="43">
        <v>1</v>
      </c>
      <c r="Q105" s="43">
        <v>1</v>
      </c>
      <c r="R105" s="43">
        <v>1</v>
      </c>
      <c r="S105" s="43">
        <v>1</v>
      </c>
      <c r="T105" s="43">
        <v>1</v>
      </c>
      <c r="U105" s="43">
        <v>1</v>
      </c>
      <c r="V105" s="43">
        <v>1</v>
      </c>
      <c r="W105" s="43">
        <v>1</v>
      </c>
      <c r="X105" s="43">
        <v>1</v>
      </c>
      <c r="Y105" s="43">
        <v>2</v>
      </c>
      <c r="Z105" s="43">
        <v>2</v>
      </c>
      <c r="AA105" s="43">
        <v>2</v>
      </c>
      <c r="AB105" s="43">
        <v>2</v>
      </c>
      <c r="AC105" s="43">
        <v>1</v>
      </c>
      <c r="AD105" s="43">
        <v>1</v>
      </c>
      <c r="AE105" s="43">
        <v>2</v>
      </c>
      <c r="AF105" s="43">
        <v>2</v>
      </c>
      <c r="AG105" s="43">
        <v>2</v>
      </c>
      <c r="AH105" s="43">
        <v>2</v>
      </c>
      <c r="AI105" s="43">
        <v>1</v>
      </c>
      <c r="AJ105" s="43">
        <v>1</v>
      </c>
      <c r="AK105" s="43">
        <v>2</v>
      </c>
      <c r="AL105" s="43">
        <v>1</v>
      </c>
      <c r="AM105" s="43">
        <v>0</v>
      </c>
    </row>
    <row r="106" spans="1:39" x14ac:dyDescent="0.2">
      <c r="A106" s="43" t="s">
        <v>258</v>
      </c>
      <c r="B106" s="43" t="s">
        <v>53</v>
      </c>
      <c r="C106" s="43">
        <v>0</v>
      </c>
      <c r="D106" s="43">
        <v>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1</v>
      </c>
      <c r="P106" s="43">
        <v>1</v>
      </c>
      <c r="Q106" s="43">
        <v>1</v>
      </c>
      <c r="R106" s="43">
        <v>1</v>
      </c>
      <c r="S106" s="43">
        <v>1</v>
      </c>
      <c r="T106" s="43">
        <v>1</v>
      </c>
      <c r="U106" s="43">
        <v>1</v>
      </c>
      <c r="V106" s="43">
        <v>1</v>
      </c>
      <c r="W106" s="43">
        <v>1</v>
      </c>
      <c r="X106" s="43">
        <v>1</v>
      </c>
      <c r="Y106" s="43">
        <v>1</v>
      </c>
      <c r="Z106" s="43">
        <v>1</v>
      </c>
      <c r="AA106" s="43">
        <v>1</v>
      </c>
      <c r="AB106" s="43">
        <v>1</v>
      </c>
      <c r="AC106" s="43">
        <v>1</v>
      </c>
      <c r="AD106" s="43">
        <v>1</v>
      </c>
      <c r="AE106" s="43">
        <v>1</v>
      </c>
      <c r="AF106" s="43">
        <v>1</v>
      </c>
      <c r="AG106" s="43">
        <v>1</v>
      </c>
      <c r="AH106" s="43">
        <v>1</v>
      </c>
      <c r="AI106" s="43">
        <v>1</v>
      </c>
      <c r="AJ106" s="43">
        <v>1</v>
      </c>
      <c r="AK106" s="43">
        <v>1</v>
      </c>
      <c r="AL106" s="43">
        <v>1</v>
      </c>
      <c r="AM106" s="43">
        <v>0</v>
      </c>
    </row>
    <row r="107" spans="1:39" x14ac:dyDescent="0.2">
      <c r="A107" s="43" t="s">
        <v>260</v>
      </c>
      <c r="B107" s="43" t="s">
        <v>53</v>
      </c>
      <c r="C107" s="43">
        <v>0</v>
      </c>
      <c r="D107" s="43">
        <v>0</v>
      </c>
      <c r="E107" s="43">
        <v>0</v>
      </c>
      <c r="F107" s="43">
        <v>0</v>
      </c>
      <c r="G107" s="43">
        <v>1</v>
      </c>
      <c r="H107" s="43">
        <v>0</v>
      </c>
      <c r="I107" s="43">
        <v>0</v>
      </c>
      <c r="J107" s="43">
        <v>0</v>
      </c>
      <c r="K107" s="43">
        <v>1</v>
      </c>
      <c r="L107" s="43">
        <v>2</v>
      </c>
      <c r="M107" s="43">
        <v>1</v>
      </c>
      <c r="N107" s="43">
        <v>1</v>
      </c>
      <c r="O107" s="43">
        <v>0</v>
      </c>
      <c r="P107" s="43">
        <v>0</v>
      </c>
      <c r="Q107" s="43">
        <v>1</v>
      </c>
      <c r="R107" s="43">
        <v>1</v>
      </c>
      <c r="S107" s="43">
        <v>1</v>
      </c>
      <c r="T107" s="43">
        <v>1</v>
      </c>
      <c r="U107" s="43">
        <v>1</v>
      </c>
      <c r="V107" s="43">
        <v>1</v>
      </c>
      <c r="W107" s="43">
        <v>1</v>
      </c>
      <c r="X107" s="43">
        <v>1</v>
      </c>
      <c r="Y107" s="43">
        <v>1</v>
      </c>
      <c r="Z107" s="43">
        <v>1</v>
      </c>
      <c r="AA107" s="43">
        <v>1</v>
      </c>
      <c r="AB107" s="43">
        <v>1</v>
      </c>
      <c r="AC107" s="43">
        <v>1</v>
      </c>
      <c r="AD107" s="43">
        <v>1</v>
      </c>
      <c r="AE107" s="43">
        <v>1</v>
      </c>
      <c r="AF107" s="43">
        <v>1</v>
      </c>
      <c r="AG107" s="43">
        <v>1</v>
      </c>
      <c r="AH107" s="43">
        <v>1</v>
      </c>
      <c r="AI107" s="43">
        <v>0</v>
      </c>
      <c r="AJ107" s="43">
        <v>0</v>
      </c>
      <c r="AK107" s="43">
        <v>0</v>
      </c>
      <c r="AL107" s="43">
        <v>0</v>
      </c>
      <c r="AM107" s="43">
        <v>0</v>
      </c>
    </row>
    <row r="108" spans="1:39" x14ac:dyDescent="0.2">
      <c r="A108" s="43" t="s">
        <v>262</v>
      </c>
      <c r="B108" s="43" t="s">
        <v>53</v>
      </c>
      <c r="C108" s="43">
        <v>0</v>
      </c>
      <c r="D108" s="43">
        <v>1</v>
      </c>
      <c r="E108" s="43">
        <v>0</v>
      </c>
      <c r="F108" s="43">
        <v>0</v>
      </c>
      <c r="G108" s="43">
        <v>1</v>
      </c>
      <c r="H108" s="43">
        <v>0</v>
      </c>
      <c r="I108" s="43">
        <v>0</v>
      </c>
      <c r="J108" s="43">
        <v>0</v>
      </c>
      <c r="K108" s="43">
        <v>0</v>
      </c>
      <c r="L108" s="43">
        <v>1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1</v>
      </c>
      <c r="T108" s="43">
        <v>0</v>
      </c>
      <c r="U108" s="43">
        <v>0</v>
      </c>
      <c r="V108" s="43">
        <v>0</v>
      </c>
      <c r="W108" s="43">
        <v>0</v>
      </c>
      <c r="X108" s="43">
        <v>1</v>
      </c>
      <c r="Y108" s="43">
        <v>0</v>
      </c>
      <c r="Z108" s="43">
        <v>0</v>
      </c>
      <c r="AA108" s="43">
        <v>0</v>
      </c>
      <c r="AB108" s="43">
        <v>0</v>
      </c>
      <c r="AC108" s="43">
        <v>1</v>
      </c>
      <c r="AD108" s="43">
        <v>0</v>
      </c>
      <c r="AE108" s="43">
        <v>0</v>
      </c>
      <c r="AF108" s="43">
        <v>1</v>
      </c>
      <c r="AG108" s="43">
        <v>0</v>
      </c>
      <c r="AH108" s="43">
        <v>0</v>
      </c>
      <c r="AI108" s="43">
        <v>1</v>
      </c>
      <c r="AJ108" s="43">
        <v>0</v>
      </c>
      <c r="AK108" s="43">
        <v>0</v>
      </c>
      <c r="AL108" s="43">
        <v>0</v>
      </c>
      <c r="AM108" s="43">
        <v>0</v>
      </c>
    </row>
    <row r="109" spans="1:39" x14ac:dyDescent="0.2">
      <c r="A109" s="43" t="s">
        <v>264</v>
      </c>
      <c r="B109" s="43" t="s">
        <v>53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1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1</v>
      </c>
      <c r="AB109" s="43">
        <v>0</v>
      </c>
      <c r="AC109" s="43">
        <v>0</v>
      </c>
      <c r="AD109" s="43">
        <v>0</v>
      </c>
      <c r="AE109" s="43">
        <v>0</v>
      </c>
      <c r="AF109" s="43">
        <v>1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1</v>
      </c>
      <c r="AM109" s="43">
        <v>0</v>
      </c>
    </row>
    <row r="110" spans="1:39" x14ac:dyDescent="0.2">
      <c r="A110" s="43" t="s">
        <v>266</v>
      </c>
      <c r="B110" s="43" t="s">
        <v>53</v>
      </c>
      <c r="C110" s="43">
        <v>0</v>
      </c>
      <c r="D110" s="43">
        <v>0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1</v>
      </c>
      <c r="O110" s="43">
        <v>0</v>
      </c>
      <c r="P110" s="43">
        <v>0</v>
      </c>
      <c r="Q110" s="43">
        <v>0</v>
      </c>
      <c r="R110" s="43">
        <v>0</v>
      </c>
      <c r="S110" s="43">
        <v>1</v>
      </c>
      <c r="T110" s="43">
        <v>0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1</v>
      </c>
      <c r="AD110" s="43">
        <v>0</v>
      </c>
      <c r="AE110" s="43">
        <v>0</v>
      </c>
      <c r="AF110" s="43">
        <v>0</v>
      </c>
      <c r="AG110" s="43">
        <v>0</v>
      </c>
      <c r="AH110" s="43">
        <v>0</v>
      </c>
      <c r="AI110" s="43">
        <v>0</v>
      </c>
      <c r="AJ110" s="43">
        <v>1</v>
      </c>
      <c r="AK110" s="43">
        <v>0</v>
      </c>
      <c r="AL110" s="43">
        <v>0</v>
      </c>
      <c r="AM110" s="43">
        <v>0</v>
      </c>
    </row>
    <row r="111" spans="1:39" x14ac:dyDescent="0.2">
      <c r="A111" s="43" t="s">
        <v>268</v>
      </c>
      <c r="B111" s="43" t="s">
        <v>53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2</v>
      </c>
      <c r="K111" s="43">
        <v>0</v>
      </c>
      <c r="L111" s="43">
        <v>0</v>
      </c>
      <c r="M111" s="43">
        <v>1</v>
      </c>
      <c r="N111" s="43">
        <v>1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1</v>
      </c>
      <c r="U111" s="43">
        <v>0</v>
      </c>
      <c r="V111" s="43">
        <v>0</v>
      </c>
      <c r="W111" s="43">
        <v>0</v>
      </c>
      <c r="X111" s="43">
        <v>1</v>
      </c>
      <c r="Y111" s="43">
        <v>0</v>
      </c>
      <c r="Z111" s="43">
        <v>0</v>
      </c>
      <c r="AA111" s="43">
        <v>0</v>
      </c>
      <c r="AB111" s="43">
        <v>1</v>
      </c>
      <c r="AC111" s="43">
        <v>0</v>
      </c>
      <c r="AD111" s="43">
        <v>1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1</v>
      </c>
      <c r="AL111" s="43">
        <v>0</v>
      </c>
      <c r="AM111" s="43">
        <v>0</v>
      </c>
    </row>
    <row r="112" spans="1:39" x14ac:dyDescent="0.2">
      <c r="A112" s="43" t="s">
        <v>270</v>
      </c>
      <c r="B112" s="43" t="s">
        <v>53</v>
      </c>
      <c r="C112" s="43">
        <v>0</v>
      </c>
      <c r="D112" s="43">
        <v>0</v>
      </c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1</v>
      </c>
      <c r="W112" s="43">
        <v>1</v>
      </c>
      <c r="X112" s="43">
        <v>1</v>
      </c>
      <c r="Y112" s="43">
        <v>1</v>
      </c>
      <c r="Z112" s="43">
        <v>1</v>
      </c>
      <c r="AA112" s="43">
        <v>1</v>
      </c>
      <c r="AB112" s="43">
        <v>1</v>
      </c>
      <c r="AC112" s="43">
        <v>1</v>
      </c>
      <c r="AD112" s="43">
        <v>0</v>
      </c>
      <c r="AE112" s="43">
        <v>0</v>
      </c>
      <c r="AF112" s="43">
        <v>2</v>
      </c>
      <c r="AG112" s="43">
        <v>1</v>
      </c>
      <c r="AH112" s="43">
        <v>1</v>
      </c>
      <c r="AI112" s="43">
        <v>1</v>
      </c>
      <c r="AJ112" s="43">
        <v>2</v>
      </c>
      <c r="AK112" s="43">
        <v>2</v>
      </c>
      <c r="AL112" s="43">
        <v>1</v>
      </c>
      <c r="AM112" s="43">
        <v>0</v>
      </c>
    </row>
    <row r="113" spans="1:39" x14ac:dyDescent="0.2">
      <c r="A113" s="43" t="s">
        <v>272</v>
      </c>
      <c r="B113" s="43" t="s">
        <v>53</v>
      </c>
      <c r="C113" s="43">
        <v>0</v>
      </c>
      <c r="D113" s="43">
        <v>0</v>
      </c>
      <c r="E113" s="43">
        <v>0</v>
      </c>
      <c r="F113" s="43">
        <v>0</v>
      </c>
      <c r="G113" s="43">
        <v>0</v>
      </c>
      <c r="H113" s="43">
        <v>0</v>
      </c>
      <c r="I113" s="43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</v>
      </c>
      <c r="R113" s="43">
        <v>1</v>
      </c>
      <c r="S113" s="43">
        <v>1</v>
      </c>
      <c r="T113" s="43">
        <v>0</v>
      </c>
      <c r="U113" s="43">
        <v>0</v>
      </c>
      <c r="V113" s="43">
        <v>0</v>
      </c>
      <c r="W113" s="43">
        <v>0</v>
      </c>
      <c r="X113" s="43">
        <v>0</v>
      </c>
      <c r="Y113" s="43">
        <v>1</v>
      </c>
      <c r="Z113" s="43">
        <v>0</v>
      </c>
      <c r="AA113" s="43">
        <v>0</v>
      </c>
      <c r="AB113" s="43">
        <v>0</v>
      </c>
      <c r="AC113" s="43">
        <v>0</v>
      </c>
      <c r="AD113" s="43">
        <v>0</v>
      </c>
      <c r="AE113" s="43">
        <v>0</v>
      </c>
      <c r="AF113" s="43">
        <v>1</v>
      </c>
      <c r="AG113" s="43">
        <v>0</v>
      </c>
      <c r="AH113" s="43">
        <v>0</v>
      </c>
      <c r="AI113" s="43">
        <v>0</v>
      </c>
      <c r="AJ113" s="43">
        <v>0</v>
      </c>
      <c r="AK113" s="43">
        <v>0</v>
      </c>
      <c r="AL113" s="43">
        <v>0</v>
      </c>
      <c r="AM113" s="43">
        <v>0</v>
      </c>
    </row>
    <row r="114" spans="1:39" x14ac:dyDescent="0.2">
      <c r="A114" s="43" t="s">
        <v>274</v>
      </c>
      <c r="B114" s="43" t="s">
        <v>53</v>
      </c>
      <c r="C114" s="43">
        <v>0</v>
      </c>
      <c r="D114" s="43">
        <v>0</v>
      </c>
      <c r="E114" s="43">
        <v>0</v>
      </c>
      <c r="F114" s="43">
        <v>0</v>
      </c>
      <c r="G114" s="43">
        <v>0</v>
      </c>
      <c r="H114" s="43">
        <v>1</v>
      </c>
      <c r="I114" s="43">
        <v>1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  <c r="V114" s="43">
        <v>1</v>
      </c>
      <c r="W114" s="43">
        <v>0</v>
      </c>
      <c r="X114" s="43">
        <v>0</v>
      </c>
      <c r="Y114" s="43">
        <v>0</v>
      </c>
      <c r="Z114" s="43">
        <v>0</v>
      </c>
      <c r="AA114" s="43">
        <v>0</v>
      </c>
      <c r="AB114" s="43">
        <v>0</v>
      </c>
      <c r="AC114" s="43">
        <v>0</v>
      </c>
      <c r="AD114" s="43">
        <v>1</v>
      </c>
      <c r="AE114" s="43">
        <v>0</v>
      </c>
      <c r="AF114" s="43">
        <v>0</v>
      </c>
      <c r="AG114" s="43">
        <v>0</v>
      </c>
      <c r="AH114" s="43">
        <v>0</v>
      </c>
      <c r="AI114" s="43">
        <v>0</v>
      </c>
      <c r="AJ114" s="43">
        <v>0</v>
      </c>
      <c r="AK114" s="43">
        <v>1</v>
      </c>
      <c r="AL114" s="43">
        <v>0</v>
      </c>
      <c r="AM114" s="43">
        <v>0</v>
      </c>
    </row>
    <row r="115" spans="1:39" x14ac:dyDescent="0.2">
      <c r="A115" s="43" t="s">
        <v>276</v>
      </c>
      <c r="B115" s="43" t="s">
        <v>53</v>
      </c>
      <c r="C115" s="43">
        <v>0</v>
      </c>
      <c r="D115" s="43">
        <v>0</v>
      </c>
      <c r="E115" s="43">
        <v>0</v>
      </c>
      <c r="F115" s="43">
        <v>0</v>
      </c>
      <c r="G115" s="43">
        <v>0</v>
      </c>
      <c r="H115" s="43">
        <v>0</v>
      </c>
      <c r="I115" s="43">
        <v>0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0</v>
      </c>
      <c r="Q115" s="43">
        <v>0</v>
      </c>
      <c r="R115" s="43">
        <v>0</v>
      </c>
      <c r="S115" s="43">
        <v>0</v>
      </c>
      <c r="T115" s="43">
        <v>0</v>
      </c>
      <c r="U115" s="43">
        <v>0</v>
      </c>
      <c r="V115" s="43">
        <v>0</v>
      </c>
      <c r="W115" s="43">
        <v>0</v>
      </c>
      <c r="X115" s="43">
        <v>1</v>
      </c>
      <c r="Y115" s="43">
        <v>0</v>
      </c>
      <c r="Z115" s="43">
        <v>0</v>
      </c>
      <c r="AA115" s="43">
        <v>0</v>
      </c>
      <c r="AB115" s="43">
        <v>0</v>
      </c>
      <c r="AC115" s="43">
        <v>0</v>
      </c>
      <c r="AD115" s="43">
        <v>0</v>
      </c>
      <c r="AE115" s="43">
        <v>1</v>
      </c>
      <c r="AF115" s="43">
        <v>0</v>
      </c>
      <c r="AG115" s="43">
        <v>0</v>
      </c>
      <c r="AH115" s="43">
        <v>0</v>
      </c>
      <c r="AI115" s="43">
        <v>0</v>
      </c>
      <c r="AJ115" s="43">
        <v>0</v>
      </c>
      <c r="AK115" s="43">
        <v>0</v>
      </c>
      <c r="AL115" s="43">
        <v>0</v>
      </c>
      <c r="AM115" s="43">
        <v>0</v>
      </c>
    </row>
    <row r="116" spans="1:39" x14ac:dyDescent="0.2">
      <c r="A116" s="43" t="s">
        <v>278</v>
      </c>
      <c r="B116" s="43" t="s">
        <v>53</v>
      </c>
      <c r="C116" s="43">
        <v>0</v>
      </c>
      <c r="D116" s="43">
        <v>1</v>
      </c>
      <c r="E116" s="43">
        <v>0</v>
      </c>
      <c r="F116" s="43">
        <v>0</v>
      </c>
      <c r="G116" s="43">
        <v>0</v>
      </c>
      <c r="H116" s="43">
        <v>0</v>
      </c>
      <c r="I116" s="43">
        <v>0</v>
      </c>
      <c r="J116" s="43">
        <v>0</v>
      </c>
      <c r="K116" s="43">
        <v>0</v>
      </c>
      <c r="L116" s="43">
        <v>0</v>
      </c>
      <c r="M116" s="43">
        <v>0</v>
      </c>
      <c r="N116" s="43">
        <v>0</v>
      </c>
      <c r="O116" s="43">
        <v>0</v>
      </c>
      <c r="P116" s="43">
        <v>0</v>
      </c>
      <c r="Q116" s="43">
        <v>0</v>
      </c>
      <c r="R116" s="43">
        <v>0</v>
      </c>
      <c r="S116" s="43">
        <v>0</v>
      </c>
      <c r="T116" s="43">
        <v>0</v>
      </c>
      <c r="U116" s="43">
        <v>0</v>
      </c>
      <c r="V116" s="43">
        <v>0</v>
      </c>
      <c r="W116" s="43">
        <v>0</v>
      </c>
      <c r="X116" s="43">
        <v>0</v>
      </c>
      <c r="Y116" s="43">
        <v>0</v>
      </c>
      <c r="Z116" s="43">
        <v>0</v>
      </c>
      <c r="AA116" s="43">
        <v>0</v>
      </c>
      <c r="AB116" s="43">
        <v>0</v>
      </c>
      <c r="AC116" s="43">
        <v>0</v>
      </c>
      <c r="AD116" s="43">
        <v>0</v>
      </c>
      <c r="AE116" s="43">
        <v>0</v>
      </c>
      <c r="AF116" s="43">
        <v>0</v>
      </c>
      <c r="AG116" s="43">
        <v>0</v>
      </c>
      <c r="AH116" s="43">
        <v>0</v>
      </c>
      <c r="AI116" s="43">
        <v>0</v>
      </c>
      <c r="AJ116" s="43">
        <v>0</v>
      </c>
      <c r="AK116" s="43">
        <v>0</v>
      </c>
      <c r="AL116" s="43">
        <v>0</v>
      </c>
      <c r="AM116" s="43">
        <v>0</v>
      </c>
    </row>
    <row r="117" spans="1:39" x14ac:dyDescent="0.2">
      <c r="A117" s="43" t="s">
        <v>280</v>
      </c>
      <c r="B117" s="43" t="s">
        <v>53</v>
      </c>
      <c r="C117" s="43">
        <v>0</v>
      </c>
      <c r="D117" s="43">
        <v>0</v>
      </c>
      <c r="E117" s="43">
        <v>0</v>
      </c>
      <c r="F117" s="43">
        <v>0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2</v>
      </c>
      <c r="M117" s="43">
        <v>0</v>
      </c>
      <c r="N117" s="43">
        <v>3</v>
      </c>
      <c r="O117" s="43">
        <v>0</v>
      </c>
      <c r="P117" s="43">
        <v>0</v>
      </c>
      <c r="Q117" s="43">
        <v>0</v>
      </c>
      <c r="R117" s="43">
        <v>0</v>
      </c>
      <c r="S117" s="43">
        <v>1</v>
      </c>
      <c r="T117" s="43">
        <v>0</v>
      </c>
      <c r="U117" s="43">
        <v>0</v>
      </c>
      <c r="V117" s="43">
        <v>0</v>
      </c>
      <c r="W117" s="43">
        <v>0</v>
      </c>
      <c r="X117" s="43">
        <v>2</v>
      </c>
      <c r="Y117" s="43">
        <v>0</v>
      </c>
      <c r="Z117" s="43">
        <v>0</v>
      </c>
      <c r="AA117" s="43">
        <v>2</v>
      </c>
      <c r="AB117" s="43">
        <v>1</v>
      </c>
      <c r="AC117" s="43">
        <v>3</v>
      </c>
      <c r="AD117" s="43">
        <v>1</v>
      </c>
      <c r="AE117" s="43">
        <v>2</v>
      </c>
      <c r="AF117" s="43">
        <v>1</v>
      </c>
      <c r="AG117" s="43">
        <v>3</v>
      </c>
      <c r="AH117" s="43">
        <v>1</v>
      </c>
      <c r="AI117" s="43">
        <v>1</v>
      </c>
      <c r="AJ117" s="43">
        <v>1</v>
      </c>
      <c r="AK117" s="43">
        <v>1</v>
      </c>
      <c r="AL117" s="43">
        <v>1</v>
      </c>
      <c r="AM117" s="43">
        <v>0</v>
      </c>
    </row>
    <row r="118" spans="1:39" x14ac:dyDescent="0.2">
      <c r="A118" s="43" t="s">
        <v>282</v>
      </c>
      <c r="B118" s="43" t="s">
        <v>53</v>
      </c>
      <c r="C118" s="43">
        <v>0</v>
      </c>
      <c r="D118" s="43">
        <v>0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0</v>
      </c>
      <c r="AB118" s="43">
        <v>1</v>
      </c>
      <c r="AC118" s="43">
        <v>0</v>
      </c>
      <c r="AD118" s="43">
        <v>0</v>
      </c>
      <c r="AE118" s="43">
        <v>0</v>
      </c>
      <c r="AF118" s="43">
        <v>0</v>
      </c>
      <c r="AG118" s="43">
        <v>0</v>
      </c>
      <c r="AH118" s="43">
        <v>0</v>
      </c>
      <c r="AI118" s="43">
        <v>0</v>
      </c>
      <c r="AJ118" s="43">
        <v>0</v>
      </c>
      <c r="AK118" s="43">
        <v>0</v>
      </c>
      <c r="AL118" s="43">
        <v>0</v>
      </c>
      <c r="AM118" s="43">
        <v>0</v>
      </c>
    </row>
    <row r="119" spans="1:39" x14ac:dyDescent="0.2">
      <c r="A119" s="43" t="s">
        <v>284</v>
      </c>
      <c r="B119" s="43" t="s">
        <v>53</v>
      </c>
      <c r="C119" s="43">
        <v>0</v>
      </c>
      <c r="D119" s="43">
        <v>2</v>
      </c>
      <c r="E119" s="43">
        <v>0</v>
      </c>
      <c r="F119" s="43">
        <v>0</v>
      </c>
      <c r="G119" s="43">
        <v>0</v>
      </c>
      <c r="H119" s="43">
        <v>0</v>
      </c>
      <c r="I119" s="43">
        <v>2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1</v>
      </c>
      <c r="U119" s="43">
        <v>0</v>
      </c>
      <c r="V119" s="43">
        <v>0</v>
      </c>
      <c r="W119" s="43">
        <v>0</v>
      </c>
      <c r="X119" s="43">
        <v>0</v>
      </c>
      <c r="Y119" s="43">
        <v>1</v>
      </c>
      <c r="Z119" s="43">
        <v>0</v>
      </c>
      <c r="AA119" s="43">
        <v>0</v>
      </c>
      <c r="AB119" s="43">
        <v>1</v>
      </c>
      <c r="AC119" s="43">
        <v>0</v>
      </c>
      <c r="AD119" s="43">
        <v>0</v>
      </c>
      <c r="AE119" s="43">
        <v>1</v>
      </c>
      <c r="AF119" s="43">
        <v>0</v>
      </c>
      <c r="AG119" s="43">
        <v>0</v>
      </c>
      <c r="AH119" s="43">
        <v>0</v>
      </c>
      <c r="AI119" s="43">
        <v>1</v>
      </c>
      <c r="AJ119" s="43">
        <v>0</v>
      </c>
      <c r="AK119" s="43">
        <v>0</v>
      </c>
      <c r="AL119" s="43">
        <v>0</v>
      </c>
      <c r="AM119" s="43">
        <v>0</v>
      </c>
    </row>
    <row r="120" spans="1:39" x14ac:dyDescent="0.2">
      <c r="A120" s="43" t="s">
        <v>286</v>
      </c>
      <c r="B120" s="43" t="s">
        <v>53</v>
      </c>
      <c r="C120" s="43">
        <v>0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>
        <v>0</v>
      </c>
      <c r="AA120" s="43">
        <v>0</v>
      </c>
      <c r="AB120" s="43">
        <v>0</v>
      </c>
      <c r="AC120" s="43">
        <v>0</v>
      </c>
      <c r="AD120" s="43">
        <v>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1</v>
      </c>
      <c r="AK120" s="43">
        <v>0</v>
      </c>
      <c r="AL120" s="43">
        <v>0</v>
      </c>
      <c r="AM120" s="43">
        <v>0</v>
      </c>
    </row>
    <row r="121" spans="1:39" x14ac:dyDescent="0.2">
      <c r="A121" s="43" t="s">
        <v>288</v>
      </c>
      <c r="B121" s="43" t="s">
        <v>53</v>
      </c>
      <c r="C121" s="43">
        <v>0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2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1</v>
      </c>
      <c r="Y121" s="43">
        <v>0</v>
      </c>
      <c r="Z121" s="43">
        <v>0</v>
      </c>
      <c r="AA121" s="43">
        <v>0</v>
      </c>
      <c r="AB121" s="43">
        <v>0</v>
      </c>
      <c r="AC121" s="43">
        <v>0</v>
      </c>
      <c r="AD121" s="43">
        <v>0</v>
      </c>
      <c r="AE121" s="43">
        <v>0</v>
      </c>
      <c r="AF121" s="43">
        <v>0</v>
      </c>
      <c r="AG121" s="43">
        <v>0</v>
      </c>
      <c r="AH121" s="43">
        <v>1</v>
      </c>
      <c r="AI121" s="43">
        <v>0</v>
      </c>
      <c r="AJ121" s="43">
        <v>0</v>
      </c>
      <c r="AK121" s="43">
        <v>0</v>
      </c>
      <c r="AL121" s="43">
        <v>0</v>
      </c>
      <c r="AM121" s="43">
        <v>0</v>
      </c>
    </row>
    <row r="122" spans="1:39" x14ac:dyDescent="0.2">
      <c r="A122" s="43" t="s">
        <v>290</v>
      </c>
      <c r="B122" s="43" t="s">
        <v>53</v>
      </c>
      <c r="C122" s="43">
        <v>0</v>
      </c>
      <c r="D122" s="43">
        <v>0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43">
        <v>0</v>
      </c>
      <c r="Z122" s="43">
        <v>0</v>
      </c>
      <c r="AA122" s="43">
        <v>0</v>
      </c>
      <c r="AB122" s="43">
        <v>0</v>
      </c>
      <c r="AC122" s="43">
        <v>0</v>
      </c>
      <c r="AD122" s="43">
        <v>0</v>
      </c>
      <c r="AE122" s="43">
        <v>0</v>
      </c>
      <c r="AF122" s="43">
        <v>0</v>
      </c>
      <c r="AG122" s="43">
        <v>0</v>
      </c>
      <c r="AH122" s="43">
        <v>0</v>
      </c>
      <c r="AI122" s="43">
        <v>0</v>
      </c>
      <c r="AJ122" s="43">
        <v>0</v>
      </c>
      <c r="AK122" s="43">
        <v>1</v>
      </c>
      <c r="AL122" s="43">
        <v>0</v>
      </c>
      <c r="AM122" s="43">
        <v>0</v>
      </c>
    </row>
    <row r="123" spans="1:39" x14ac:dyDescent="0.2">
      <c r="A123" s="43" t="s">
        <v>292</v>
      </c>
      <c r="B123" s="43" t="s">
        <v>53</v>
      </c>
      <c r="C123" s="43">
        <v>0</v>
      </c>
      <c r="D123" s="43">
        <v>0</v>
      </c>
      <c r="E123" s="43">
        <v>0</v>
      </c>
      <c r="F123" s="43">
        <v>0</v>
      </c>
      <c r="G123" s="43">
        <v>1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1</v>
      </c>
      <c r="AC123" s="43">
        <v>0</v>
      </c>
      <c r="AD123" s="43">
        <v>0</v>
      </c>
      <c r="AE123" s="43">
        <v>0</v>
      </c>
      <c r="AF123" s="43">
        <v>0</v>
      </c>
      <c r="AG123" s="43">
        <v>1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</row>
    <row r="124" spans="1:39" x14ac:dyDescent="0.2">
      <c r="A124" s="43" t="s">
        <v>294</v>
      </c>
      <c r="B124" s="43" t="s">
        <v>53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1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1</v>
      </c>
      <c r="AG124" s="43">
        <v>0</v>
      </c>
      <c r="AH124" s="43">
        <v>0</v>
      </c>
      <c r="AI124" s="43">
        <v>1</v>
      </c>
      <c r="AJ124" s="43">
        <v>0</v>
      </c>
      <c r="AK124" s="43">
        <v>0</v>
      </c>
      <c r="AL124" s="43">
        <v>0</v>
      </c>
      <c r="AM124" s="43">
        <v>0</v>
      </c>
    </row>
    <row r="125" spans="1:39" x14ac:dyDescent="0.2">
      <c r="A125" s="43" t="s">
        <v>296</v>
      </c>
      <c r="B125" s="43" t="s">
        <v>53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1</v>
      </c>
      <c r="W125" s="43">
        <v>0</v>
      </c>
      <c r="X125" s="43">
        <v>0</v>
      </c>
      <c r="Y125" s="43">
        <v>0</v>
      </c>
      <c r="Z125" s="43">
        <v>1</v>
      </c>
      <c r="AA125" s="43">
        <v>1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</row>
    <row r="126" spans="1:39" x14ac:dyDescent="0.2">
      <c r="A126" s="43" t="s">
        <v>298</v>
      </c>
      <c r="B126" s="43" t="s">
        <v>53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1</v>
      </c>
      <c r="S126" s="43">
        <v>0</v>
      </c>
      <c r="T126" s="43">
        <v>0</v>
      </c>
      <c r="U126" s="43">
        <v>0</v>
      </c>
      <c r="V126" s="43">
        <v>1</v>
      </c>
      <c r="W126" s="43">
        <v>1</v>
      </c>
      <c r="X126" s="43">
        <v>0</v>
      </c>
      <c r="Y126" s="43">
        <v>0</v>
      </c>
      <c r="Z126" s="43">
        <v>1</v>
      </c>
      <c r="AA126" s="43">
        <v>0</v>
      </c>
      <c r="AB126" s="43">
        <v>1</v>
      </c>
      <c r="AC126" s="43">
        <v>1</v>
      </c>
      <c r="AD126" s="43">
        <v>0</v>
      </c>
      <c r="AE126" s="43">
        <v>1</v>
      </c>
      <c r="AF126" s="43">
        <v>1</v>
      </c>
      <c r="AG126" s="43">
        <v>1</v>
      </c>
      <c r="AH126" s="43">
        <v>1</v>
      </c>
      <c r="AI126" s="43">
        <v>1</v>
      </c>
      <c r="AJ126" s="43">
        <v>1</v>
      </c>
      <c r="AK126" s="43">
        <v>0</v>
      </c>
      <c r="AL126" s="43">
        <v>0</v>
      </c>
      <c r="AM126" s="43">
        <v>0</v>
      </c>
    </row>
    <row r="127" spans="1:39" x14ac:dyDescent="0.2">
      <c r="A127" s="43" t="s">
        <v>300</v>
      </c>
      <c r="B127" s="43" t="s">
        <v>53</v>
      </c>
      <c r="C127" s="43">
        <v>0</v>
      </c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2</v>
      </c>
      <c r="K127" s="43">
        <v>0</v>
      </c>
      <c r="L127" s="43">
        <v>1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1</v>
      </c>
      <c r="T127" s="43">
        <v>0</v>
      </c>
      <c r="U127" s="43">
        <v>0</v>
      </c>
      <c r="V127" s="43">
        <v>0</v>
      </c>
      <c r="W127" s="43">
        <v>0</v>
      </c>
      <c r="X127" s="43">
        <v>0</v>
      </c>
      <c r="Y127" s="43">
        <v>1</v>
      </c>
      <c r="Z127" s="43">
        <v>1</v>
      </c>
      <c r="AA127" s="43">
        <v>1</v>
      </c>
      <c r="AB127" s="43">
        <v>0</v>
      </c>
      <c r="AC127" s="43">
        <v>1</v>
      </c>
      <c r="AD127" s="43">
        <v>1</v>
      </c>
      <c r="AE127" s="43">
        <v>1</v>
      </c>
      <c r="AF127" s="43">
        <v>0</v>
      </c>
      <c r="AG127" s="43">
        <v>1</v>
      </c>
      <c r="AH127" s="43">
        <v>0</v>
      </c>
      <c r="AI127" s="43">
        <v>0</v>
      </c>
      <c r="AJ127" s="43">
        <v>1</v>
      </c>
      <c r="AK127" s="43">
        <v>0</v>
      </c>
      <c r="AL127" s="43">
        <v>0</v>
      </c>
      <c r="AM127" s="43">
        <v>0</v>
      </c>
    </row>
    <row r="128" spans="1:39" x14ac:dyDescent="0.2">
      <c r="A128" s="43" t="s">
        <v>302</v>
      </c>
      <c r="B128" s="43" t="s">
        <v>53</v>
      </c>
      <c r="C128" s="43">
        <v>0</v>
      </c>
      <c r="D128" s="43">
        <v>0</v>
      </c>
      <c r="E128" s="43">
        <v>1</v>
      </c>
      <c r="F128" s="43">
        <v>0</v>
      </c>
      <c r="G128" s="43">
        <v>2</v>
      </c>
      <c r="H128" s="43">
        <v>0</v>
      </c>
      <c r="I128" s="43">
        <v>1</v>
      </c>
      <c r="J128" s="43">
        <v>0</v>
      </c>
      <c r="K128" s="43">
        <v>2</v>
      </c>
      <c r="L128" s="43">
        <v>0</v>
      </c>
      <c r="M128" s="43">
        <v>1</v>
      </c>
      <c r="N128" s="43">
        <v>0</v>
      </c>
      <c r="O128" s="43">
        <v>0</v>
      </c>
      <c r="P128" s="43">
        <v>0</v>
      </c>
      <c r="Q128" s="43">
        <v>1</v>
      </c>
      <c r="R128" s="43">
        <v>1</v>
      </c>
      <c r="S128" s="43">
        <v>1</v>
      </c>
      <c r="T128" s="43">
        <v>0</v>
      </c>
      <c r="U128" s="43">
        <v>1</v>
      </c>
      <c r="V128" s="43">
        <v>0</v>
      </c>
      <c r="W128" s="43">
        <v>1</v>
      </c>
      <c r="X128" s="43">
        <v>0</v>
      </c>
      <c r="Y128" s="43">
        <v>1</v>
      </c>
      <c r="Z128" s="43">
        <v>1</v>
      </c>
      <c r="AA128" s="43">
        <v>1</v>
      </c>
      <c r="AB128" s="43">
        <v>1</v>
      </c>
      <c r="AC128" s="43">
        <v>1</v>
      </c>
      <c r="AD128" s="43">
        <v>1</v>
      </c>
      <c r="AE128" s="43">
        <v>1</v>
      </c>
      <c r="AF128" s="43">
        <v>1</v>
      </c>
      <c r="AG128" s="43">
        <v>1</v>
      </c>
      <c r="AH128" s="43">
        <v>1</v>
      </c>
      <c r="AI128" s="43">
        <v>1</v>
      </c>
      <c r="AJ128" s="43">
        <v>1</v>
      </c>
      <c r="AK128" s="43">
        <v>1</v>
      </c>
      <c r="AL128" s="43">
        <v>1</v>
      </c>
      <c r="AM128" s="43">
        <v>0</v>
      </c>
    </row>
    <row r="129" spans="1:39" x14ac:dyDescent="0.2">
      <c r="A129" s="43" t="s">
        <v>304</v>
      </c>
      <c r="B129" s="43" t="s">
        <v>53</v>
      </c>
      <c r="C129" s="43">
        <v>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1</v>
      </c>
      <c r="U129" s="43">
        <v>0</v>
      </c>
      <c r="V129" s="43">
        <v>0</v>
      </c>
      <c r="W129" s="43">
        <v>0</v>
      </c>
      <c r="X129" s="43">
        <v>0</v>
      </c>
      <c r="Y129" s="43">
        <v>1</v>
      </c>
      <c r="Z129" s="43">
        <v>0</v>
      </c>
      <c r="AA129" s="43">
        <v>0</v>
      </c>
      <c r="AB129" s="43">
        <v>0</v>
      </c>
      <c r="AC129" s="43">
        <v>0</v>
      </c>
      <c r="AD129" s="43">
        <v>1</v>
      </c>
      <c r="AE129" s="43">
        <v>0</v>
      </c>
      <c r="AF129" s="43">
        <v>0</v>
      </c>
      <c r="AG129" s="43">
        <v>1</v>
      </c>
      <c r="AH129" s="43">
        <v>0</v>
      </c>
      <c r="AI129" s="43">
        <v>0</v>
      </c>
      <c r="AJ129" s="43">
        <v>0</v>
      </c>
      <c r="AK129" s="43">
        <v>0</v>
      </c>
      <c r="AL129" s="43">
        <v>0</v>
      </c>
      <c r="AM129" s="43">
        <v>0</v>
      </c>
    </row>
    <row r="130" spans="1:39" x14ac:dyDescent="0.2">
      <c r="A130" s="43" t="s">
        <v>306</v>
      </c>
      <c r="B130" s="43" t="s">
        <v>53</v>
      </c>
      <c r="C130" s="43">
        <v>0</v>
      </c>
      <c r="D130" s="43">
        <v>0</v>
      </c>
      <c r="E130" s="43">
        <v>0</v>
      </c>
      <c r="F130" s="43">
        <v>0</v>
      </c>
      <c r="G130" s="43">
        <v>1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43">
        <v>1</v>
      </c>
      <c r="Z130" s="43">
        <v>0</v>
      </c>
      <c r="AA130" s="43">
        <v>0</v>
      </c>
      <c r="AB130" s="43">
        <v>0</v>
      </c>
      <c r="AC130" s="43">
        <v>0</v>
      </c>
      <c r="AD130" s="43">
        <v>1</v>
      </c>
      <c r="AE130" s="43">
        <v>0</v>
      </c>
      <c r="AF130" s="43">
        <v>0</v>
      </c>
      <c r="AG130" s="43">
        <v>0</v>
      </c>
      <c r="AH130" s="43">
        <v>1</v>
      </c>
      <c r="AI130" s="43">
        <v>0</v>
      </c>
      <c r="AJ130" s="43">
        <v>0</v>
      </c>
      <c r="AK130" s="43">
        <v>1</v>
      </c>
      <c r="AL130" s="43">
        <v>0</v>
      </c>
      <c r="AM130" s="43">
        <v>0</v>
      </c>
    </row>
    <row r="131" spans="1:39" x14ac:dyDescent="0.2">
      <c r="A131" s="43" t="s">
        <v>308</v>
      </c>
      <c r="B131" s="43" t="s">
        <v>53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1</v>
      </c>
      <c r="T131" s="43">
        <v>0</v>
      </c>
      <c r="U131" s="43">
        <v>0</v>
      </c>
      <c r="V131" s="43">
        <v>0</v>
      </c>
      <c r="W131" s="43">
        <v>0</v>
      </c>
      <c r="X131" s="43">
        <v>0</v>
      </c>
      <c r="Y131" s="43">
        <v>0</v>
      </c>
      <c r="Z131" s="43">
        <v>0</v>
      </c>
      <c r="AA131" s="43">
        <v>0</v>
      </c>
      <c r="AB131" s="43">
        <v>1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1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</row>
    <row r="132" spans="1:39" x14ac:dyDescent="0.2">
      <c r="A132" s="43" t="s">
        <v>310</v>
      </c>
      <c r="B132" s="43" t="s">
        <v>53</v>
      </c>
      <c r="C132" s="43">
        <v>0</v>
      </c>
      <c r="D132" s="43">
        <v>0</v>
      </c>
      <c r="E132" s="43">
        <v>0</v>
      </c>
      <c r="F132" s="43">
        <v>0</v>
      </c>
      <c r="G132" s="43">
        <v>1</v>
      </c>
      <c r="H132" s="43">
        <v>0</v>
      </c>
      <c r="I132" s="43">
        <v>0</v>
      </c>
      <c r="J132" s="43">
        <v>0</v>
      </c>
      <c r="K132" s="43">
        <v>2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3">
        <v>1</v>
      </c>
      <c r="Y132" s="43">
        <v>0</v>
      </c>
      <c r="Z132" s="43">
        <v>0</v>
      </c>
      <c r="AA132" s="43">
        <v>0</v>
      </c>
      <c r="AB132" s="43">
        <v>0</v>
      </c>
      <c r="AC132" s="43">
        <v>0</v>
      </c>
      <c r="AD132" s="43">
        <v>0</v>
      </c>
      <c r="AE132" s="43">
        <v>0</v>
      </c>
      <c r="AF132" s="43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</row>
    <row r="133" spans="1:39" x14ac:dyDescent="0.2">
      <c r="A133" s="43" t="s">
        <v>313</v>
      </c>
      <c r="B133" s="43" t="s">
        <v>53</v>
      </c>
      <c r="C133" s="43">
        <v>0</v>
      </c>
      <c r="D133" s="43">
        <v>2</v>
      </c>
      <c r="E133" s="43">
        <v>0</v>
      </c>
      <c r="F133" s="43">
        <v>0</v>
      </c>
      <c r="G133" s="43">
        <v>0</v>
      </c>
      <c r="H133" s="43">
        <v>0</v>
      </c>
      <c r="I133" s="43">
        <v>2</v>
      </c>
      <c r="J133" s="43">
        <v>0</v>
      </c>
      <c r="K133" s="43">
        <v>0</v>
      </c>
      <c r="L133" s="43">
        <v>0</v>
      </c>
      <c r="M133" s="43">
        <v>0</v>
      </c>
      <c r="N133" s="43">
        <v>2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1</v>
      </c>
      <c r="Y133" s="43">
        <v>0</v>
      </c>
      <c r="Z133" s="43">
        <v>0</v>
      </c>
      <c r="AA133" s="43">
        <v>0</v>
      </c>
      <c r="AB133" s="43">
        <v>0</v>
      </c>
      <c r="AC133" s="43">
        <v>1</v>
      </c>
      <c r="AD133" s="43">
        <v>0</v>
      </c>
      <c r="AE133" s="43">
        <v>0</v>
      </c>
      <c r="AF133" s="43">
        <v>0</v>
      </c>
      <c r="AG133" s="43">
        <v>0</v>
      </c>
      <c r="AH133" s="43">
        <v>1</v>
      </c>
      <c r="AI133" s="43">
        <v>0</v>
      </c>
      <c r="AJ133" s="43">
        <v>0</v>
      </c>
      <c r="AK133" s="43">
        <v>0</v>
      </c>
      <c r="AL133" s="43">
        <v>0</v>
      </c>
      <c r="AM133" s="43">
        <v>0</v>
      </c>
    </row>
    <row r="134" spans="1:39" x14ac:dyDescent="0.2">
      <c r="A134" s="43" t="s">
        <v>315</v>
      </c>
      <c r="B134" s="43" t="s">
        <v>53</v>
      </c>
      <c r="C134" s="43">
        <v>0</v>
      </c>
      <c r="D134" s="43">
        <v>0</v>
      </c>
      <c r="E134" s="43">
        <v>0</v>
      </c>
      <c r="F134" s="43">
        <v>2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2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1</v>
      </c>
      <c r="U134" s="43">
        <v>1</v>
      </c>
      <c r="V134" s="43">
        <v>1</v>
      </c>
      <c r="W134" s="43">
        <v>1</v>
      </c>
      <c r="X134" s="43">
        <v>1</v>
      </c>
      <c r="Y134" s="43">
        <v>1</v>
      </c>
      <c r="Z134" s="43">
        <v>1</v>
      </c>
      <c r="AA134" s="43">
        <v>1</v>
      </c>
      <c r="AB134" s="43">
        <v>1</v>
      </c>
      <c r="AC134" s="43">
        <v>1</v>
      </c>
      <c r="AD134" s="43">
        <v>1</v>
      </c>
      <c r="AE134" s="43">
        <v>1</v>
      </c>
      <c r="AF134" s="43">
        <v>1</v>
      </c>
      <c r="AG134" s="43">
        <v>1</v>
      </c>
      <c r="AH134" s="43">
        <v>1</v>
      </c>
      <c r="AI134" s="43">
        <v>1</v>
      </c>
      <c r="AJ134" s="43">
        <v>1</v>
      </c>
      <c r="AK134" s="43">
        <v>1</v>
      </c>
      <c r="AL134" s="43">
        <v>1</v>
      </c>
      <c r="AM134" s="43">
        <v>0</v>
      </c>
    </row>
    <row r="135" spans="1:39" x14ac:dyDescent="0.2">
      <c r="A135" s="43" t="s">
        <v>317</v>
      </c>
      <c r="B135" s="43" t="s">
        <v>53</v>
      </c>
      <c r="C135" s="43">
        <v>0</v>
      </c>
      <c r="D135" s="43">
        <v>0</v>
      </c>
      <c r="E135" s="43">
        <v>0</v>
      </c>
      <c r="F135" s="43">
        <v>0</v>
      </c>
      <c r="G135" s="43">
        <v>1</v>
      </c>
      <c r="H135" s="43">
        <v>0</v>
      </c>
      <c r="I135" s="43">
        <v>0</v>
      </c>
      <c r="J135" s="43">
        <v>0</v>
      </c>
      <c r="K135" s="43">
        <v>0</v>
      </c>
      <c r="L135" s="43">
        <v>1</v>
      </c>
      <c r="M135" s="43">
        <v>0</v>
      </c>
      <c r="N135" s="43">
        <v>0</v>
      </c>
      <c r="O135" s="43">
        <v>0</v>
      </c>
      <c r="P135" s="43">
        <v>0</v>
      </c>
      <c r="Q135" s="43">
        <v>1</v>
      </c>
      <c r="R135" s="43">
        <v>0</v>
      </c>
      <c r="S135" s="43">
        <v>0</v>
      </c>
      <c r="T135" s="43">
        <v>0</v>
      </c>
      <c r="U135" s="43">
        <v>0</v>
      </c>
      <c r="V135" s="43">
        <v>1</v>
      </c>
      <c r="W135" s="43">
        <v>0</v>
      </c>
      <c r="X135" s="43">
        <v>0</v>
      </c>
      <c r="Y135" s="43">
        <v>0</v>
      </c>
      <c r="Z135" s="43">
        <v>0</v>
      </c>
      <c r="AA135" s="43">
        <v>0</v>
      </c>
      <c r="AB135" s="43">
        <v>0</v>
      </c>
      <c r="AC135" s="43">
        <v>0</v>
      </c>
      <c r="AD135" s="43">
        <v>0</v>
      </c>
      <c r="AE135" s="43">
        <v>0</v>
      </c>
      <c r="AF135" s="43">
        <v>0</v>
      </c>
      <c r="AG135" s="43">
        <v>0</v>
      </c>
      <c r="AH135" s="43">
        <v>0</v>
      </c>
      <c r="AI135" s="43">
        <v>0</v>
      </c>
      <c r="AJ135" s="43">
        <v>0</v>
      </c>
      <c r="AK135" s="43">
        <v>0</v>
      </c>
      <c r="AL135" s="43">
        <v>0</v>
      </c>
      <c r="AM135" s="43">
        <v>0</v>
      </c>
    </row>
    <row r="136" spans="1:39" x14ac:dyDescent="0.2">
      <c r="A136" s="43" t="s">
        <v>319</v>
      </c>
      <c r="B136" s="43" t="s">
        <v>53</v>
      </c>
      <c r="C136" s="43">
        <v>0</v>
      </c>
      <c r="D136" s="43">
        <v>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1</v>
      </c>
      <c r="X136" s="43">
        <v>0</v>
      </c>
      <c r="Y136" s="43">
        <v>0</v>
      </c>
      <c r="Z136" s="43">
        <v>0</v>
      </c>
      <c r="AA136" s="43">
        <v>0</v>
      </c>
      <c r="AB136" s="43">
        <v>1</v>
      </c>
      <c r="AC136" s="43">
        <v>0</v>
      </c>
      <c r="AD136" s="43">
        <v>0</v>
      </c>
      <c r="AE136" s="43">
        <v>0</v>
      </c>
      <c r="AF136" s="43">
        <v>0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0</v>
      </c>
      <c r="AM136" s="43">
        <v>0</v>
      </c>
    </row>
    <row r="137" spans="1:39" x14ac:dyDescent="0.2">
      <c r="A137" s="43" t="s">
        <v>321</v>
      </c>
      <c r="B137" s="43" t="s">
        <v>53</v>
      </c>
      <c r="C137" s="43">
        <v>0</v>
      </c>
      <c r="D137" s="43">
        <v>0</v>
      </c>
      <c r="E137" s="43">
        <v>0</v>
      </c>
      <c r="F137" s="43">
        <v>0</v>
      </c>
      <c r="G137" s="43">
        <v>0</v>
      </c>
      <c r="H137" s="43">
        <v>2</v>
      </c>
      <c r="I137" s="43">
        <v>0</v>
      </c>
      <c r="J137" s="43">
        <v>0</v>
      </c>
      <c r="K137" s="43">
        <v>2</v>
      </c>
      <c r="L137" s="43">
        <v>1</v>
      </c>
      <c r="M137" s="43">
        <v>1</v>
      </c>
      <c r="N137" s="43">
        <v>1</v>
      </c>
      <c r="O137" s="43">
        <v>0</v>
      </c>
      <c r="P137" s="43">
        <v>0</v>
      </c>
      <c r="Q137" s="43">
        <v>0</v>
      </c>
      <c r="R137" s="43">
        <v>0</v>
      </c>
      <c r="S137" s="43">
        <v>1</v>
      </c>
      <c r="T137" s="43">
        <v>0</v>
      </c>
      <c r="U137" s="43">
        <v>1</v>
      </c>
      <c r="V137" s="43">
        <v>0</v>
      </c>
      <c r="W137" s="43">
        <v>0</v>
      </c>
      <c r="X137" s="43">
        <v>1</v>
      </c>
      <c r="Y137" s="43">
        <v>0</v>
      </c>
      <c r="Z137" s="43">
        <v>0</v>
      </c>
      <c r="AA137" s="43">
        <v>0</v>
      </c>
      <c r="AB137" s="43">
        <v>1</v>
      </c>
      <c r="AC137" s="43">
        <v>1</v>
      </c>
      <c r="AD137" s="43">
        <v>1</v>
      </c>
      <c r="AE137" s="43">
        <v>1</v>
      </c>
      <c r="AF137" s="43">
        <v>1</v>
      </c>
      <c r="AG137" s="43">
        <v>0</v>
      </c>
      <c r="AH137" s="43">
        <v>1</v>
      </c>
      <c r="AI137" s="43">
        <v>1</v>
      </c>
      <c r="AJ137" s="43">
        <v>0</v>
      </c>
      <c r="AK137" s="43">
        <v>0</v>
      </c>
      <c r="AL137" s="43">
        <v>0</v>
      </c>
      <c r="AM137" s="43">
        <v>0</v>
      </c>
    </row>
    <row r="138" spans="1:39" x14ac:dyDescent="0.2">
      <c r="A138" s="43" t="s">
        <v>323</v>
      </c>
      <c r="B138" s="43" t="s">
        <v>53</v>
      </c>
      <c r="C138" s="43">
        <v>0</v>
      </c>
      <c r="D138" s="43">
        <v>0</v>
      </c>
      <c r="E138" s="43">
        <v>0</v>
      </c>
      <c r="F138" s="43">
        <v>0</v>
      </c>
      <c r="G138" s="43">
        <v>1</v>
      </c>
      <c r="H138" s="43">
        <v>0</v>
      </c>
      <c r="I138" s="43">
        <v>0</v>
      </c>
      <c r="J138" s="43">
        <v>0</v>
      </c>
      <c r="K138" s="43">
        <v>1</v>
      </c>
      <c r="L138" s="43">
        <v>0</v>
      </c>
      <c r="M138" s="43">
        <v>0</v>
      </c>
      <c r="N138" s="43">
        <v>2</v>
      </c>
      <c r="O138" s="43">
        <v>0</v>
      </c>
      <c r="P138" s="43">
        <v>0</v>
      </c>
      <c r="Q138" s="43">
        <v>0</v>
      </c>
      <c r="R138" s="43">
        <v>1</v>
      </c>
      <c r="S138" s="43">
        <v>1</v>
      </c>
      <c r="T138" s="43">
        <v>1</v>
      </c>
      <c r="U138" s="43">
        <v>1</v>
      </c>
      <c r="V138" s="43">
        <v>1</v>
      </c>
      <c r="W138" s="43">
        <v>1</v>
      </c>
      <c r="X138" s="43">
        <v>1</v>
      </c>
      <c r="Y138" s="43">
        <v>1</v>
      </c>
      <c r="Z138" s="43">
        <v>1</v>
      </c>
      <c r="AA138" s="43">
        <v>1</v>
      </c>
      <c r="AB138" s="43">
        <v>1</v>
      </c>
      <c r="AC138" s="43">
        <v>1</v>
      </c>
      <c r="AD138" s="43">
        <v>1</v>
      </c>
      <c r="AE138" s="43">
        <v>1</v>
      </c>
      <c r="AF138" s="43">
        <v>1</v>
      </c>
      <c r="AG138" s="43">
        <v>1</v>
      </c>
      <c r="AH138" s="43">
        <v>1</v>
      </c>
      <c r="AI138" s="43">
        <v>1</v>
      </c>
      <c r="AJ138" s="43">
        <v>1</v>
      </c>
      <c r="AK138" s="43">
        <v>1</v>
      </c>
      <c r="AL138" s="43">
        <v>1</v>
      </c>
      <c r="AM138" s="43">
        <v>0</v>
      </c>
    </row>
    <row r="139" spans="1:39" x14ac:dyDescent="0.2">
      <c r="A139" s="43" t="s">
        <v>325</v>
      </c>
      <c r="B139" s="43" t="s">
        <v>53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2</v>
      </c>
      <c r="I139" s="43">
        <v>0</v>
      </c>
      <c r="J139" s="43">
        <v>0</v>
      </c>
      <c r="K139" s="43">
        <v>1</v>
      </c>
      <c r="L139" s="43">
        <v>0</v>
      </c>
      <c r="M139" s="43">
        <v>0</v>
      </c>
      <c r="N139" s="43">
        <v>1</v>
      </c>
      <c r="O139" s="43">
        <v>1</v>
      </c>
      <c r="P139" s="43">
        <v>1</v>
      </c>
      <c r="Q139" s="43">
        <v>1</v>
      </c>
      <c r="R139" s="43">
        <v>1</v>
      </c>
      <c r="S139" s="43">
        <v>1</v>
      </c>
      <c r="T139" s="43">
        <v>1</v>
      </c>
      <c r="U139" s="43">
        <v>1</v>
      </c>
      <c r="V139" s="43">
        <v>1</v>
      </c>
      <c r="W139" s="43">
        <v>1</v>
      </c>
      <c r="X139" s="43">
        <v>1</v>
      </c>
      <c r="Y139" s="43">
        <v>1</v>
      </c>
      <c r="Z139" s="43">
        <v>1</v>
      </c>
      <c r="AA139" s="43">
        <v>1</v>
      </c>
      <c r="AB139" s="43">
        <v>1</v>
      </c>
      <c r="AC139" s="43">
        <v>1</v>
      </c>
      <c r="AD139" s="43">
        <v>1</v>
      </c>
      <c r="AE139" s="43">
        <v>1</v>
      </c>
      <c r="AF139" s="43">
        <v>1</v>
      </c>
      <c r="AG139" s="43">
        <v>1</v>
      </c>
      <c r="AH139" s="43">
        <v>1</v>
      </c>
      <c r="AI139" s="43">
        <v>1</v>
      </c>
      <c r="AJ139" s="43">
        <v>1</v>
      </c>
      <c r="AK139" s="43">
        <v>1</v>
      </c>
      <c r="AL139" s="43">
        <v>1</v>
      </c>
      <c r="AM139" s="43">
        <v>0</v>
      </c>
    </row>
    <row r="140" spans="1:39" x14ac:dyDescent="0.2">
      <c r="A140" s="43" t="s">
        <v>327</v>
      </c>
      <c r="B140" s="43" t="s">
        <v>53</v>
      </c>
      <c r="C140" s="43">
        <v>0</v>
      </c>
      <c r="D140" s="43">
        <v>0</v>
      </c>
      <c r="E140" s="43">
        <v>0</v>
      </c>
      <c r="F140" s="43">
        <v>0</v>
      </c>
      <c r="G140" s="43">
        <v>1</v>
      </c>
      <c r="H140" s="43">
        <v>0</v>
      </c>
      <c r="I140" s="43">
        <v>0</v>
      </c>
      <c r="J140" s="43">
        <v>0</v>
      </c>
      <c r="K140" s="43">
        <v>0</v>
      </c>
      <c r="L140" s="43">
        <v>1</v>
      </c>
      <c r="M140" s="43">
        <v>0</v>
      </c>
      <c r="N140" s="43">
        <v>0</v>
      </c>
      <c r="O140" s="43">
        <v>0</v>
      </c>
      <c r="P140" s="43">
        <v>0</v>
      </c>
      <c r="Q140" s="43">
        <v>1</v>
      </c>
      <c r="R140" s="43">
        <v>0</v>
      </c>
      <c r="S140" s="43">
        <v>1</v>
      </c>
      <c r="T140" s="43">
        <v>0</v>
      </c>
      <c r="U140" s="43">
        <v>1</v>
      </c>
      <c r="V140" s="43">
        <v>1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1</v>
      </c>
      <c r="AI140" s="43">
        <v>1</v>
      </c>
      <c r="AJ140" s="43">
        <v>1</v>
      </c>
      <c r="AK140" s="43">
        <v>0</v>
      </c>
      <c r="AL140" s="43">
        <v>0</v>
      </c>
      <c r="AM140" s="43">
        <v>0</v>
      </c>
    </row>
    <row r="141" spans="1:39" x14ac:dyDescent="0.2">
      <c r="A141" s="43" t="s">
        <v>329</v>
      </c>
      <c r="B141" s="43" t="s">
        <v>53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1</v>
      </c>
      <c r="Z141" s="43">
        <v>0</v>
      </c>
      <c r="AA141" s="43">
        <v>0</v>
      </c>
      <c r="AB141" s="43">
        <v>0</v>
      </c>
      <c r="AC141" s="43">
        <v>1</v>
      </c>
      <c r="AD141" s="43">
        <v>0</v>
      </c>
      <c r="AE141" s="43">
        <v>1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1</v>
      </c>
      <c r="AL141" s="43">
        <v>0</v>
      </c>
      <c r="AM141" s="43">
        <v>0</v>
      </c>
    </row>
    <row r="142" spans="1:39" x14ac:dyDescent="0.2">
      <c r="A142" s="43" t="s">
        <v>331</v>
      </c>
      <c r="B142" s="43" t="s">
        <v>53</v>
      </c>
      <c r="C142" s="43">
        <v>0</v>
      </c>
      <c r="D142" s="43">
        <v>1</v>
      </c>
      <c r="E142" s="43">
        <v>1</v>
      </c>
      <c r="F142" s="43">
        <v>2</v>
      </c>
      <c r="G142" s="43">
        <v>1</v>
      </c>
      <c r="H142" s="43">
        <v>2</v>
      </c>
      <c r="I142" s="43">
        <v>1</v>
      </c>
      <c r="J142" s="43">
        <v>1</v>
      </c>
      <c r="K142" s="43">
        <v>1</v>
      </c>
      <c r="L142" s="43">
        <v>2</v>
      </c>
      <c r="M142" s="43">
        <v>1</v>
      </c>
      <c r="N142" s="43">
        <v>2</v>
      </c>
      <c r="O142" s="43">
        <v>0</v>
      </c>
      <c r="P142" s="43">
        <v>0</v>
      </c>
      <c r="Q142" s="43">
        <v>0</v>
      </c>
      <c r="R142" s="43">
        <v>0</v>
      </c>
      <c r="S142" s="43">
        <v>1</v>
      </c>
      <c r="T142" s="43">
        <v>1</v>
      </c>
      <c r="U142" s="43">
        <v>1</v>
      </c>
      <c r="V142" s="43">
        <v>1</v>
      </c>
      <c r="W142" s="43">
        <v>1</v>
      </c>
      <c r="X142" s="43">
        <v>1</v>
      </c>
      <c r="Y142" s="43">
        <v>1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</row>
    <row r="143" spans="1:39" x14ac:dyDescent="0.2">
      <c r="A143" s="43" t="s">
        <v>333</v>
      </c>
      <c r="B143" s="43" t="s">
        <v>53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0.5</v>
      </c>
      <c r="J143" s="43">
        <v>0</v>
      </c>
      <c r="K143" s="43">
        <v>1</v>
      </c>
      <c r="L143" s="43">
        <v>2</v>
      </c>
      <c r="M143" s="43">
        <v>1</v>
      </c>
      <c r="N143" s="43">
        <v>0</v>
      </c>
      <c r="O143" s="43">
        <v>0</v>
      </c>
      <c r="P143" s="43">
        <v>0</v>
      </c>
      <c r="Q143" s="43">
        <v>1</v>
      </c>
      <c r="R143" s="43">
        <v>0</v>
      </c>
      <c r="S143" s="43">
        <v>0</v>
      </c>
      <c r="T143" s="43">
        <v>0</v>
      </c>
      <c r="U143" s="43">
        <v>1</v>
      </c>
      <c r="V143" s="43">
        <v>0</v>
      </c>
      <c r="W143" s="43">
        <v>1</v>
      </c>
      <c r="X143" s="43">
        <v>0</v>
      </c>
      <c r="Y143" s="43">
        <v>1</v>
      </c>
      <c r="Z143" s="43">
        <v>0</v>
      </c>
      <c r="AA143" s="43">
        <v>1</v>
      </c>
      <c r="AB143" s="43">
        <v>0</v>
      </c>
      <c r="AC143" s="43">
        <v>1</v>
      </c>
      <c r="AD143" s="43">
        <v>0</v>
      </c>
      <c r="AE143" s="43">
        <v>1</v>
      </c>
      <c r="AF143" s="43">
        <v>0</v>
      </c>
      <c r="AG143" s="43">
        <v>1</v>
      </c>
      <c r="AH143" s="43">
        <v>0</v>
      </c>
      <c r="AI143" s="43">
        <v>1</v>
      </c>
      <c r="AJ143" s="43">
        <v>0</v>
      </c>
      <c r="AK143" s="43">
        <v>1</v>
      </c>
      <c r="AL143" s="43">
        <v>0</v>
      </c>
      <c r="AM143" s="43">
        <v>0</v>
      </c>
    </row>
    <row r="144" spans="1:39" x14ac:dyDescent="0.2">
      <c r="A144" s="43" t="s">
        <v>335</v>
      </c>
      <c r="B144" s="43" t="s">
        <v>53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1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1</v>
      </c>
      <c r="X144" s="43">
        <v>1</v>
      </c>
      <c r="Y144" s="43">
        <v>1</v>
      </c>
      <c r="Z144" s="43">
        <v>1</v>
      </c>
      <c r="AA144" s="43">
        <v>0</v>
      </c>
      <c r="AB144" s="43">
        <v>1</v>
      </c>
      <c r="AC144" s="43">
        <v>1</v>
      </c>
      <c r="AD144" s="43">
        <v>1</v>
      </c>
      <c r="AE144" s="43">
        <v>0</v>
      </c>
      <c r="AF144" s="43">
        <v>0</v>
      </c>
      <c r="AG144" s="43">
        <v>0</v>
      </c>
      <c r="AH144" s="43">
        <v>0</v>
      </c>
      <c r="AI144" s="43">
        <v>1</v>
      </c>
      <c r="AJ144" s="43">
        <v>0</v>
      </c>
      <c r="AK144" s="43">
        <v>0</v>
      </c>
      <c r="AL144" s="43">
        <v>0</v>
      </c>
      <c r="AM144" s="43">
        <v>0</v>
      </c>
    </row>
    <row r="145" spans="1:39" x14ac:dyDescent="0.2">
      <c r="A145" s="43" t="s">
        <v>337</v>
      </c>
      <c r="B145" s="43" t="s">
        <v>53</v>
      </c>
      <c r="C145" s="43">
        <v>0</v>
      </c>
      <c r="D145" s="43">
        <v>0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1</v>
      </c>
      <c r="K145" s="43">
        <v>1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1</v>
      </c>
      <c r="R145" s="43">
        <v>0</v>
      </c>
      <c r="S145" s="43">
        <v>0</v>
      </c>
      <c r="T145" s="43">
        <v>0</v>
      </c>
      <c r="U145" s="43">
        <v>0</v>
      </c>
      <c r="V145" s="43">
        <v>0</v>
      </c>
      <c r="W145" s="43">
        <v>0</v>
      </c>
      <c r="X145" s="43">
        <v>1</v>
      </c>
      <c r="Y145" s="43">
        <v>0</v>
      </c>
      <c r="Z145" s="43">
        <v>0</v>
      </c>
      <c r="AA145" s="43">
        <v>0</v>
      </c>
      <c r="AB145" s="43">
        <v>0</v>
      </c>
      <c r="AC145" s="43">
        <v>0</v>
      </c>
      <c r="AD145" s="43">
        <v>0</v>
      </c>
      <c r="AE145" s="43">
        <v>0</v>
      </c>
      <c r="AF145" s="43">
        <v>0</v>
      </c>
      <c r="AG145" s="43">
        <v>1</v>
      </c>
      <c r="AH145" s="43">
        <v>0</v>
      </c>
      <c r="AI145" s="43">
        <v>0</v>
      </c>
      <c r="AJ145" s="43">
        <v>0</v>
      </c>
      <c r="AK145" s="43">
        <v>0</v>
      </c>
      <c r="AL145" s="43">
        <v>0</v>
      </c>
      <c r="AM145" s="43">
        <v>0</v>
      </c>
    </row>
    <row r="146" spans="1:39" x14ac:dyDescent="0.2">
      <c r="A146" s="43" t="s">
        <v>339</v>
      </c>
      <c r="B146" s="43" t="s">
        <v>53</v>
      </c>
      <c r="C146" s="43">
        <v>0</v>
      </c>
      <c r="D146" s="43">
        <v>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2</v>
      </c>
      <c r="K146" s="43">
        <v>0</v>
      </c>
      <c r="L146" s="43">
        <v>2</v>
      </c>
      <c r="M146" s="43">
        <v>0</v>
      </c>
      <c r="N146" s="43">
        <v>0</v>
      </c>
      <c r="O146" s="43">
        <v>0</v>
      </c>
      <c r="P146" s="43">
        <v>0</v>
      </c>
      <c r="Q146" s="43">
        <v>1</v>
      </c>
      <c r="R146" s="43">
        <v>0</v>
      </c>
      <c r="S146" s="43">
        <v>0</v>
      </c>
      <c r="T146" s="43">
        <v>0</v>
      </c>
      <c r="U146" s="43">
        <v>1</v>
      </c>
      <c r="V146" s="43">
        <v>0</v>
      </c>
      <c r="W146" s="43">
        <v>1</v>
      </c>
      <c r="X146" s="43">
        <v>0</v>
      </c>
      <c r="Y146" s="43">
        <v>1</v>
      </c>
      <c r="Z146" s="43">
        <v>0</v>
      </c>
      <c r="AA146" s="43">
        <v>0</v>
      </c>
      <c r="AB146" s="43">
        <v>0</v>
      </c>
      <c r="AC146" s="43">
        <v>1</v>
      </c>
      <c r="AD146" s="43">
        <v>0</v>
      </c>
      <c r="AE146" s="43">
        <v>0</v>
      </c>
      <c r="AF146" s="43">
        <v>0</v>
      </c>
      <c r="AG146" s="43">
        <v>0</v>
      </c>
      <c r="AH146" s="43">
        <v>1</v>
      </c>
      <c r="AI146" s="43">
        <v>0</v>
      </c>
      <c r="AJ146" s="43">
        <v>0</v>
      </c>
      <c r="AK146" s="43">
        <v>0</v>
      </c>
      <c r="AL146" s="43">
        <v>0</v>
      </c>
      <c r="AM146" s="43">
        <v>0</v>
      </c>
    </row>
    <row r="147" spans="1:39" x14ac:dyDescent="0.2">
      <c r="A147" s="43" t="s">
        <v>341</v>
      </c>
      <c r="B147" s="43" t="s">
        <v>53</v>
      </c>
      <c r="C147" s="43">
        <v>0</v>
      </c>
      <c r="D147" s="43">
        <v>0</v>
      </c>
      <c r="E147" s="43">
        <v>0</v>
      </c>
      <c r="F147" s="43">
        <v>0</v>
      </c>
      <c r="G147" s="43">
        <v>0</v>
      </c>
      <c r="H147" s="43">
        <v>0</v>
      </c>
      <c r="I147" s="43">
        <v>1</v>
      </c>
      <c r="J147" s="43">
        <v>1</v>
      </c>
      <c r="K147" s="43">
        <v>0</v>
      </c>
      <c r="L147" s="43">
        <v>1</v>
      </c>
      <c r="M147" s="43">
        <v>0</v>
      </c>
      <c r="N147" s="43">
        <v>2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43">
        <v>0</v>
      </c>
      <c r="Z147" s="43">
        <v>1</v>
      </c>
      <c r="AA147" s="43">
        <v>1</v>
      </c>
      <c r="AB147" s="43">
        <v>0</v>
      </c>
      <c r="AC147" s="43">
        <v>0</v>
      </c>
      <c r="AD147" s="43">
        <v>1</v>
      </c>
      <c r="AE147" s="43">
        <v>0</v>
      </c>
      <c r="AF147" s="43">
        <v>0</v>
      </c>
      <c r="AG147" s="43">
        <v>0</v>
      </c>
      <c r="AH147" s="43">
        <v>0</v>
      </c>
      <c r="AI147" s="43">
        <v>0</v>
      </c>
      <c r="AJ147" s="43">
        <v>1</v>
      </c>
      <c r="AK147" s="43">
        <v>0</v>
      </c>
      <c r="AL147" s="43">
        <v>1</v>
      </c>
      <c r="AM147" s="43">
        <v>0</v>
      </c>
    </row>
    <row r="148" spans="1:39" x14ac:dyDescent="0.2">
      <c r="A148" s="43" t="s">
        <v>343</v>
      </c>
      <c r="B148" s="43" t="s">
        <v>53</v>
      </c>
      <c r="C148" s="43">
        <v>0</v>
      </c>
      <c r="D148" s="43">
        <v>0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1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  <c r="V148" s="43">
        <v>0</v>
      </c>
      <c r="W148" s="43">
        <v>0</v>
      </c>
      <c r="X148" s="43">
        <v>1</v>
      </c>
      <c r="Y148" s="43">
        <v>0</v>
      </c>
      <c r="Z148" s="43">
        <v>0</v>
      </c>
      <c r="AA148" s="43">
        <v>0</v>
      </c>
      <c r="AB148" s="43">
        <v>0</v>
      </c>
      <c r="AC148" s="43">
        <v>0</v>
      </c>
      <c r="AD148" s="43">
        <v>0</v>
      </c>
      <c r="AE148" s="43">
        <v>0</v>
      </c>
      <c r="AF148" s="43">
        <v>0</v>
      </c>
      <c r="AG148" s="43">
        <v>1</v>
      </c>
      <c r="AH148" s="43">
        <v>0</v>
      </c>
      <c r="AI148" s="43">
        <v>0</v>
      </c>
      <c r="AJ148" s="43">
        <v>0</v>
      </c>
      <c r="AK148" s="43">
        <v>0</v>
      </c>
      <c r="AL148" s="43">
        <v>0</v>
      </c>
      <c r="AM148" s="43">
        <v>0</v>
      </c>
    </row>
    <row r="149" spans="1:39" x14ac:dyDescent="0.2">
      <c r="A149" s="43" t="s">
        <v>346</v>
      </c>
      <c r="B149" s="43" t="s">
        <v>53</v>
      </c>
      <c r="C149" s="43">
        <v>0</v>
      </c>
      <c r="D149" s="43">
        <v>0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  <c r="V149" s="43">
        <v>0</v>
      </c>
      <c r="W149" s="43">
        <v>0</v>
      </c>
      <c r="X149" s="43">
        <v>0</v>
      </c>
      <c r="Y149" s="43">
        <v>0</v>
      </c>
      <c r="Z149" s="43">
        <v>0</v>
      </c>
      <c r="AA149" s="43">
        <v>0</v>
      </c>
      <c r="AB149" s="43">
        <v>0</v>
      </c>
      <c r="AC149" s="43">
        <v>0</v>
      </c>
      <c r="AD149" s="43">
        <v>0</v>
      </c>
      <c r="AE149" s="43">
        <v>0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0</v>
      </c>
      <c r="AL149" s="43">
        <v>0</v>
      </c>
      <c r="AM149" s="43">
        <v>0</v>
      </c>
    </row>
    <row r="150" spans="1:39" x14ac:dyDescent="0.2">
      <c r="A150" s="43" t="s">
        <v>348</v>
      </c>
      <c r="B150" s="43" t="s">
        <v>53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</v>
      </c>
      <c r="AB150" s="43">
        <v>1</v>
      </c>
      <c r="AC150" s="43">
        <v>1</v>
      </c>
      <c r="AD150" s="43">
        <v>1</v>
      </c>
      <c r="AE150" s="43">
        <v>1</v>
      </c>
      <c r="AF150" s="43">
        <v>1</v>
      </c>
      <c r="AG150" s="43">
        <v>1</v>
      </c>
      <c r="AH150" s="43">
        <v>1</v>
      </c>
      <c r="AI150" s="43">
        <v>1</v>
      </c>
      <c r="AJ150" s="43">
        <v>1</v>
      </c>
      <c r="AK150" s="43">
        <v>1</v>
      </c>
      <c r="AL150" s="43">
        <v>1</v>
      </c>
      <c r="AM150" s="43">
        <v>0</v>
      </c>
    </row>
    <row r="151" spans="1:39" x14ac:dyDescent="0.2">
      <c r="A151" s="43" t="s">
        <v>351</v>
      </c>
      <c r="B151" s="43" t="s">
        <v>53</v>
      </c>
      <c r="C151" s="43">
        <v>0</v>
      </c>
      <c r="D151" s="43">
        <v>0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1</v>
      </c>
      <c r="M151" s="43">
        <v>1</v>
      </c>
      <c r="N151" s="43">
        <v>0</v>
      </c>
      <c r="O151" s="43">
        <v>0</v>
      </c>
      <c r="P151" s="43">
        <v>0</v>
      </c>
      <c r="Q151" s="43">
        <v>1</v>
      </c>
      <c r="R151" s="43">
        <v>0</v>
      </c>
      <c r="S151" s="43">
        <v>0</v>
      </c>
      <c r="T151" s="43">
        <v>0</v>
      </c>
      <c r="U151" s="43">
        <v>1</v>
      </c>
      <c r="V151" s="43">
        <v>1</v>
      </c>
      <c r="W151" s="43">
        <v>2</v>
      </c>
      <c r="X151" s="43">
        <v>1</v>
      </c>
      <c r="Y151" s="43">
        <v>1</v>
      </c>
      <c r="Z151" s="43">
        <v>1</v>
      </c>
      <c r="AA151" s="43">
        <v>2</v>
      </c>
      <c r="AB151" s="43">
        <v>2</v>
      </c>
      <c r="AC151" s="43">
        <v>2</v>
      </c>
      <c r="AD151" s="43">
        <v>2</v>
      </c>
      <c r="AE151" s="43">
        <v>2</v>
      </c>
      <c r="AF151" s="43">
        <v>2</v>
      </c>
      <c r="AG151" s="43">
        <v>2</v>
      </c>
      <c r="AH151" s="43">
        <v>2</v>
      </c>
      <c r="AI151" s="43">
        <v>2</v>
      </c>
      <c r="AJ151" s="43">
        <v>2</v>
      </c>
      <c r="AK151" s="43">
        <v>2</v>
      </c>
      <c r="AL151" s="43">
        <v>2</v>
      </c>
      <c r="AM151" s="43">
        <v>0</v>
      </c>
    </row>
    <row r="152" spans="1:39" x14ac:dyDescent="0.2">
      <c r="A152" s="43" t="s">
        <v>354</v>
      </c>
      <c r="B152" s="43" t="s">
        <v>53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1</v>
      </c>
      <c r="X152" s="43">
        <v>2</v>
      </c>
      <c r="Y152" s="43">
        <v>2</v>
      </c>
      <c r="Z152" s="43">
        <v>2</v>
      </c>
      <c r="AA152" s="43">
        <v>2</v>
      </c>
      <c r="AB152" s="43">
        <v>2</v>
      </c>
      <c r="AC152" s="43">
        <v>2</v>
      </c>
      <c r="AD152" s="43">
        <v>2</v>
      </c>
      <c r="AE152" s="43">
        <v>2</v>
      </c>
      <c r="AF152" s="43">
        <v>2</v>
      </c>
      <c r="AG152" s="43">
        <v>2</v>
      </c>
      <c r="AH152" s="43">
        <v>2</v>
      </c>
      <c r="AI152" s="43">
        <v>2</v>
      </c>
      <c r="AJ152" s="43">
        <v>2</v>
      </c>
      <c r="AK152" s="43">
        <v>2</v>
      </c>
      <c r="AL152" s="43">
        <v>1</v>
      </c>
      <c r="AM152" s="43">
        <v>0</v>
      </c>
    </row>
    <row r="153" spans="1:39" x14ac:dyDescent="0.2">
      <c r="A153" s="43" t="s">
        <v>357</v>
      </c>
      <c r="B153" s="43" t="s">
        <v>53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1</v>
      </c>
      <c r="V153" s="43">
        <v>1</v>
      </c>
      <c r="W153" s="43">
        <v>1</v>
      </c>
      <c r="X153" s="43">
        <v>1</v>
      </c>
      <c r="Y153" s="43">
        <v>1</v>
      </c>
      <c r="Z153" s="43">
        <v>1</v>
      </c>
      <c r="AA153" s="43">
        <v>1</v>
      </c>
      <c r="AB153" s="43">
        <v>1</v>
      </c>
      <c r="AC153" s="43">
        <v>1</v>
      </c>
      <c r="AD153" s="43">
        <v>1</v>
      </c>
      <c r="AE153" s="43">
        <v>1</v>
      </c>
      <c r="AF153" s="43">
        <v>1</v>
      </c>
      <c r="AG153" s="43">
        <v>2</v>
      </c>
      <c r="AH153" s="43">
        <v>2</v>
      </c>
      <c r="AI153" s="43">
        <v>2</v>
      </c>
      <c r="AJ153" s="43">
        <v>1</v>
      </c>
      <c r="AK153" s="43">
        <v>1</v>
      </c>
      <c r="AL153" s="43">
        <v>2</v>
      </c>
      <c r="AM153" s="43">
        <v>0</v>
      </c>
    </row>
    <row r="154" spans="1:39" x14ac:dyDescent="0.2">
      <c r="A154" s="43" t="s">
        <v>361</v>
      </c>
      <c r="B154" s="43" t="s">
        <v>53</v>
      </c>
      <c r="C154" s="43">
        <v>0</v>
      </c>
      <c r="D154" s="43">
        <v>0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3">
        <v>0</v>
      </c>
      <c r="Y154" s="43">
        <v>0</v>
      </c>
      <c r="Z154" s="43">
        <v>0</v>
      </c>
      <c r="AA154" s="43">
        <v>1</v>
      </c>
      <c r="AB154" s="43">
        <v>0</v>
      </c>
      <c r="AC154" s="43">
        <v>1</v>
      </c>
      <c r="AD154" s="43">
        <v>1</v>
      </c>
      <c r="AE154" s="43">
        <v>2</v>
      </c>
      <c r="AF154" s="43">
        <v>1</v>
      </c>
      <c r="AG154" s="43">
        <v>1</v>
      </c>
      <c r="AH154" s="43">
        <v>1</v>
      </c>
      <c r="AI154" s="43">
        <v>2</v>
      </c>
      <c r="AJ154" s="43">
        <v>1</v>
      </c>
      <c r="AK154" s="43">
        <v>1</v>
      </c>
      <c r="AL154" s="43">
        <v>1</v>
      </c>
      <c r="AM154" s="43">
        <v>0</v>
      </c>
    </row>
    <row r="155" spans="1:39" x14ac:dyDescent="0.2">
      <c r="A155" s="43" t="s">
        <v>364</v>
      </c>
      <c r="B155" s="43" t="s">
        <v>53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1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1</v>
      </c>
      <c r="Z155" s="43">
        <v>1</v>
      </c>
      <c r="AA155" s="43">
        <v>1</v>
      </c>
      <c r="AB155" s="43">
        <v>1</v>
      </c>
      <c r="AC155" s="43">
        <v>1</v>
      </c>
      <c r="AD155" s="43">
        <v>0</v>
      </c>
      <c r="AE155" s="43">
        <v>0</v>
      </c>
      <c r="AF155" s="43">
        <v>0</v>
      </c>
      <c r="AG155" s="43">
        <v>0</v>
      </c>
      <c r="AH155" s="43">
        <v>1</v>
      </c>
      <c r="AI155" s="43">
        <v>0</v>
      </c>
      <c r="AJ155" s="43">
        <v>0</v>
      </c>
      <c r="AK155" s="43">
        <v>1</v>
      </c>
      <c r="AL155" s="43">
        <v>0</v>
      </c>
      <c r="AM155" s="43">
        <v>0</v>
      </c>
    </row>
    <row r="156" spans="1:39" x14ac:dyDescent="0.2">
      <c r="A156" s="43" t="s">
        <v>367</v>
      </c>
      <c r="B156" s="43" t="s">
        <v>53</v>
      </c>
      <c r="C156" s="43">
        <v>0</v>
      </c>
      <c r="D156" s="43">
        <v>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1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3">
        <v>0</v>
      </c>
      <c r="Y156" s="43">
        <v>0</v>
      </c>
      <c r="Z156" s="43">
        <v>1</v>
      </c>
      <c r="AA156" s="43">
        <v>0</v>
      </c>
      <c r="AB156" s="43">
        <v>0</v>
      </c>
      <c r="AC156" s="43">
        <v>0</v>
      </c>
      <c r="AD156" s="43">
        <v>0</v>
      </c>
      <c r="AE156" s="43">
        <v>0</v>
      </c>
      <c r="AF156" s="43">
        <v>1</v>
      </c>
      <c r="AG156" s="43">
        <v>0</v>
      </c>
      <c r="AH156" s="43">
        <v>0</v>
      </c>
      <c r="AI156" s="43">
        <v>0</v>
      </c>
      <c r="AJ156" s="43">
        <v>0</v>
      </c>
      <c r="AK156" s="43">
        <v>1</v>
      </c>
      <c r="AL156" s="43">
        <v>0</v>
      </c>
      <c r="AM156" s="43">
        <v>0</v>
      </c>
    </row>
    <row r="157" spans="1:39" x14ac:dyDescent="0.2">
      <c r="A157" s="43" t="s">
        <v>370</v>
      </c>
      <c r="B157" s="43" t="s">
        <v>53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1</v>
      </c>
      <c r="X157" s="43">
        <v>2</v>
      </c>
      <c r="Y157" s="43">
        <v>2</v>
      </c>
      <c r="Z157" s="43">
        <v>2</v>
      </c>
      <c r="AA157" s="43">
        <v>2</v>
      </c>
      <c r="AB157" s="43">
        <v>2</v>
      </c>
      <c r="AC157" s="43">
        <v>2</v>
      </c>
      <c r="AD157" s="43">
        <v>2</v>
      </c>
      <c r="AE157" s="43">
        <v>2</v>
      </c>
      <c r="AF157" s="43">
        <v>2</v>
      </c>
      <c r="AG157" s="43">
        <v>2</v>
      </c>
      <c r="AH157" s="43">
        <v>2</v>
      </c>
      <c r="AI157" s="43">
        <v>2</v>
      </c>
      <c r="AJ157" s="43">
        <v>2</v>
      </c>
      <c r="AK157" s="43">
        <v>2</v>
      </c>
      <c r="AL157" s="43">
        <v>1</v>
      </c>
      <c r="AM157" s="43">
        <v>0</v>
      </c>
    </row>
    <row r="158" spans="1:39" x14ac:dyDescent="0.2">
      <c r="A158" s="43" t="s">
        <v>373</v>
      </c>
      <c r="B158" s="43" t="s">
        <v>53</v>
      </c>
      <c r="C158" s="43">
        <v>0</v>
      </c>
      <c r="U158" s="43">
        <v>1</v>
      </c>
      <c r="V158" s="43">
        <v>1</v>
      </c>
      <c r="W158" s="43">
        <v>1</v>
      </c>
      <c r="X158" s="43">
        <v>1</v>
      </c>
      <c r="Y158" s="43">
        <v>1</v>
      </c>
      <c r="Z158" s="43">
        <v>1</v>
      </c>
      <c r="AA158" s="43">
        <v>1</v>
      </c>
      <c r="AB158" s="43">
        <v>1</v>
      </c>
      <c r="AC158" s="43">
        <v>1</v>
      </c>
      <c r="AD158" s="43">
        <v>1</v>
      </c>
      <c r="AE158" s="43">
        <v>1</v>
      </c>
      <c r="AF158" s="43">
        <v>1</v>
      </c>
      <c r="AG158" s="43">
        <v>1</v>
      </c>
      <c r="AH158" s="43">
        <v>1</v>
      </c>
      <c r="AI158" s="43">
        <v>1</v>
      </c>
      <c r="AJ158" s="43">
        <v>1</v>
      </c>
      <c r="AK158" s="43">
        <v>2</v>
      </c>
      <c r="AL158" s="43">
        <v>0</v>
      </c>
      <c r="AM158" s="43">
        <v>0</v>
      </c>
    </row>
    <row r="159" spans="1:39" x14ac:dyDescent="0.2">
      <c r="A159" s="43" t="s">
        <v>378</v>
      </c>
      <c r="B159" s="43" t="s">
        <v>53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0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</row>
    <row r="160" spans="1:39" x14ac:dyDescent="0.2">
      <c r="A160" s="43" t="s">
        <v>380</v>
      </c>
      <c r="B160" s="43" t="s">
        <v>53</v>
      </c>
      <c r="C160" s="43">
        <v>0</v>
      </c>
      <c r="D160" s="43">
        <v>0</v>
      </c>
      <c r="E160" s="43">
        <v>0</v>
      </c>
      <c r="F160" s="43">
        <v>0</v>
      </c>
      <c r="G160" s="43">
        <v>1</v>
      </c>
      <c r="H160" s="43">
        <v>0</v>
      </c>
      <c r="I160" s="43">
        <v>0</v>
      </c>
      <c r="J160" s="43">
        <v>0</v>
      </c>
      <c r="K160" s="43">
        <v>0</v>
      </c>
      <c r="L160" s="43">
        <v>1</v>
      </c>
      <c r="M160" s="43">
        <v>0</v>
      </c>
      <c r="N160" s="43">
        <v>0</v>
      </c>
      <c r="O160" s="43">
        <v>0</v>
      </c>
      <c r="P160" s="43">
        <v>0</v>
      </c>
      <c r="Q160" s="43">
        <v>1</v>
      </c>
      <c r="R160" s="43">
        <v>0</v>
      </c>
      <c r="S160" s="43">
        <v>0</v>
      </c>
      <c r="T160" s="43">
        <v>0</v>
      </c>
      <c r="U160" s="43">
        <v>0</v>
      </c>
      <c r="V160" s="43">
        <v>1</v>
      </c>
      <c r="W160" s="43">
        <v>0</v>
      </c>
      <c r="X160" s="43">
        <v>1</v>
      </c>
      <c r="Y160" s="43">
        <v>0</v>
      </c>
      <c r="Z160" s="43">
        <v>1</v>
      </c>
      <c r="AA160" s="43">
        <v>0</v>
      </c>
      <c r="AB160" s="43">
        <v>1</v>
      </c>
      <c r="AC160" s="43">
        <v>0</v>
      </c>
      <c r="AD160" s="43">
        <v>1</v>
      </c>
      <c r="AE160" s="43">
        <v>0</v>
      </c>
      <c r="AF160" s="43">
        <v>1</v>
      </c>
      <c r="AG160" s="43">
        <v>0</v>
      </c>
      <c r="AH160" s="43">
        <v>1</v>
      </c>
      <c r="AI160" s="43">
        <v>0</v>
      </c>
      <c r="AJ160" s="43">
        <v>1</v>
      </c>
      <c r="AK160" s="43">
        <v>0</v>
      </c>
      <c r="AL160" s="43">
        <v>0</v>
      </c>
      <c r="AM160" s="43">
        <v>0</v>
      </c>
    </row>
    <row r="161" spans="1:39" x14ac:dyDescent="0.2">
      <c r="A161" s="43" t="s">
        <v>385</v>
      </c>
      <c r="B161" s="43" t="s">
        <v>53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  <c r="V161" s="43">
        <v>1</v>
      </c>
      <c r="W161" s="43">
        <v>1</v>
      </c>
      <c r="X161" s="43">
        <v>1</v>
      </c>
      <c r="Y161" s="43">
        <v>1</v>
      </c>
      <c r="Z161" s="43">
        <v>1</v>
      </c>
      <c r="AA161" s="43">
        <v>1</v>
      </c>
      <c r="AB161" s="43">
        <v>2</v>
      </c>
      <c r="AC161" s="43">
        <v>1</v>
      </c>
      <c r="AD161" s="43">
        <v>1</v>
      </c>
      <c r="AE161" s="43">
        <v>1</v>
      </c>
      <c r="AF161" s="43">
        <v>1</v>
      </c>
      <c r="AG161" s="43">
        <v>2</v>
      </c>
      <c r="AH161" s="43">
        <v>1</v>
      </c>
      <c r="AI161" s="43">
        <v>1</v>
      </c>
      <c r="AJ161" s="43">
        <v>1</v>
      </c>
      <c r="AK161" s="43">
        <v>1</v>
      </c>
      <c r="AL161" s="43">
        <v>1</v>
      </c>
      <c r="AM161" s="43">
        <v>0</v>
      </c>
    </row>
    <row r="162" spans="1:39" x14ac:dyDescent="0.2">
      <c r="A162" s="43" t="s">
        <v>389</v>
      </c>
      <c r="B162" s="43" t="s">
        <v>53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1</v>
      </c>
      <c r="S162" s="43">
        <v>1</v>
      </c>
      <c r="T162" s="43">
        <v>1</v>
      </c>
      <c r="U162" s="43">
        <v>1</v>
      </c>
      <c r="V162" s="43">
        <v>1</v>
      </c>
      <c r="W162" s="43">
        <v>2</v>
      </c>
      <c r="X162" s="43">
        <v>2</v>
      </c>
      <c r="Y162" s="43">
        <v>2</v>
      </c>
      <c r="Z162" s="43">
        <v>2</v>
      </c>
      <c r="AA162" s="43">
        <v>2</v>
      </c>
      <c r="AB162" s="43">
        <v>2</v>
      </c>
      <c r="AC162" s="43">
        <v>2</v>
      </c>
      <c r="AD162" s="43">
        <v>1</v>
      </c>
      <c r="AE162" s="43">
        <v>2</v>
      </c>
      <c r="AF162" s="43">
        <v>1</v>
      </c>
      <c r="AG162" s="43">
        <v>2</v>
      </c>
      <c r="AH162" s="43">
        <v>1</v>
      </c>
      <c r="AI162" s="43">
        <v>2</v>
      </c>
      <c r="AJ162" s="43">
        <v>1</v>
      </c>
      <c r="AK162" s="43">
        <v>2</v>
      </c>
      <c r="AL162" s="43">
        <v>1</v>
      </c>
      <c r="AM162" s="43">
        <v>0</v>
      </c>
    </row>
    <row r="163" spans="1:39" x14ac:dyDescent="0.2">
      <c r="A163" s="43" t="s">
        <v>396</v>
      </c>
      <c r="B163" s="43" t="s">
        <v>53</v>
      </c>
      <c r="C163" s="43">
        <v>0</v>
      </c>
      <c r="D163" s="43">
        <v>0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  <c r="V163" s="43">
        <v>0</v>
      </c>
      <c r="W163" s="43">
        <v>0</v>
      </c>
      <c r="X163" s="43">
        <v>0</v>
      </c>
      <c r="Y163" s="43">
        <v>0</v>
      </c>
      <c r="Z163" s="43">
        <v>0</v>
      </c>
      <c r="AA163" s="43">
        <v>0</v>
      </c>
      <c r="AB163" s="43">
        <v>0</v>
      </c>
      <c r="AC163" s="43">
        <v>0</v>
      </c>
      <c r="AD163" s="43">
        <v>0</v>
      </c>
      <c r="AE163" s="43">
        <v>0</v>
      </c>
      <c r="AF163" s="43">
        <v>1</v>
      </c>
      <c r="AG163" s="43">
        <v>0</v>
      </c>
      <c r="AH163" s="43">
        <v>0</v>
      </c>
      <c r="AI163" s="43">
        <v>0</v>
      </c>
      <c r="AJ163" s="43">
        <v>0</v>
      </c>
      <c r="AK163" s="43">
        <v>0</v>
      </c>
      <c r="AL163" s="43">
        <v>0</v>
      </c>
      <c r="AM163" s="43">
        <v>0</v>
      </c>
    </row>
    <row r="164" spans="1:39" x14ac:dyDescent="0.2">
      <c r="A164" s="43" t="s">
        <v>399</v>
      </c>
      <c r="B164" s="43" t="s">
        <v>53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1</v>
      </c>
      <c r="Y164" s="43">
        <v>0</v>
      </c>
      <c r="Z164" s="43">
        <v>0</v>
      </c>
      <c r="AA164" s="43">
        <v>0</v>
      </c>
      <c r="AB164" s="43">
        <v>0</v>
      </c>
      <c r="AC164" s="43">
        <v>1</v>
      </c>
      <c r="AD164" s="43">
        <v>0</v>
      </c>
      <c r="AE164" s="43">
        <v>0</v>
      </c>
      <c r="AF164" s="43">
        <v>0</v>
      </c>
      <c r="AG164" s="43">
        <v>0</v>
      </c>
      <c r="AH164" s="43">
        <v>1</v>
      </c>
      <c r="AI164" s="43">
        <v>0</v>
      </c>
      <c r="AJ164" s="43">
        <v>0</v>
      </c>
      <c r="AK164" s="43">
        <v>0</v>
      </c>
      <c r="AL164" s="43">
        <v>0</v>
      </c>
      <c r="AM164" s="43">
        <v>0</v>
      </c>
    </row>
    <row r="165" spans="1:39" x14ac:dyDescent="0.2">
      <c r="A165" s="43" t="s">
        <v>403</v>
      </c>
      <c r="B165" s="43" t="s">
        <v>53</v>
      </c>
      <c r="C165" s="43">
        <v>0</v>
      </c>
      <c r="D165" s="43">
        <v>1</v>
      </c>
      <c r="E165" s="43">
        <v>1</v>
      </c>
      <c r="F165" s="43">
        <v>1</v>
      </c>
      <c r="G165" s="43">
        <v>1</v>
      </c>
      <c r="H165" s="43">
        <v>1</v>
      </c>
      <c r="I165" s="43">
        <v>1</v>
      </c>
      <c r="J165" s="43">
        <v>1</v>
      </c>
      <c r="K165" s="43">
        <v>1</v>
      </c>
      <c r="L165" s="43">
        <v>1</v>
      </c>
      <c r="M165" s="43">
        <v>1</v>
      </c>
      <c r="N165" s="43">
        <v>1</v>
      </c>
      <c r="O165" s="43">
        <v>2</v>
      </c>
      <c r="P165" s="43">
        <v>2</v>
      </c>
      <c r="Q165" s="43">
        <v>2</v>
      </c>
      <c r="R165" s="43">
        <v>2</v>
      </c>
      <c r="S165" s="43">
        <v>2</v>
      </c>
      <c r="T165" s="43">
        <v>2</v>
      </c>
      <c r="U165" s="43">
        <v>2</v>
      </c>
      <c r="V165" s="43">
        <v>2</v>
      </c>
      <c r="W165" s="43">
        <v>2</v>
      </c>
      <c r="X165" s="43">
        <v>2</v>
      </c>
      <c r="Y165" s="43">
        <v>2</v>
      </c>
      <c r="Z165" s="43">
        <v>2</v>
      </c>
      <c r="AA165" s="43">
        <v>2</v>
      </c>
      <c r="AB165" s="43">
        <v>2</v>
      </c>
      <c r="AC165" s="43">
        <v>2</v>
      </c>
      <c r="AD165" s="43">
        <v>2</v>
      </c>
      <c r="AE165" s="43">
        <v>2</v>
      </c>
      <c r="AF165" s="43">
        <v>2</v>
      </c>
      <c r="AG165" s="43">
        <v>2</v>
      </c>
      <c r="AH165" s="43">
        <v>2</v>
      </c>
      <c r="AI165" s="43">
        <v>2</v>
      </c>
      <c r="AJ165" s="43">
        <v>2</v>
      </c>
      <c r="AK165" s="43">
        <v>2</v>
      </c>
      <c r="AL165" s="43">
        <v>1</v>
      </c>
      <c r="AM165" s="43">
        <v>0</v>
      </c>
    </row>
    <row r="166" spans="1:39" x14ac:dyDescent="0.2">
      <c r="A166" s="43" t="s">
        <v>409</v>
      </c>
      <c r="B166" s="43" t="s">
        <v>53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1</v>
      </c>
      <c r="T166" s="43">
        <v>1</v>
      </c>
      <c r="U166" s="43">
        <v>1</v>
      </c>
      <c r="V166" s="43">
        <v>1</v>
      </c>
      <c r="W166" s="43">
        <v>1</v>
      </c>
      <c r="X166" s="43">
        <v>1</v>
      </c>
      <c r="Y166" s="43">
        <v>1</v>
      </c>
      <c r="Z166" s="43">
        <v>2</v>
      </c>
      <c r="AA166" s="43">
        <v>2</v>
      </c>
      <c r="AB166" s="43">
        <v>2</v>
      </c>
      <c r="AC166" s="43">
        <v>2</v>
      </c>
      <c r="AD166" s="43">
        <v>2</v>
      </c>
      <c r="AE166" s="43">
        <v>2</v>
      </c>
      <c r="AF166" s="43">
        <v>2</v>
      </c>
      <c r="AG166" s="43">
        <v>2</v>
      </c>
      <c r="AH166" s="43">
        <v>2</v>
      </c>
      <c r="AI166" s="43">
        <v>2</v>
      </c>
      <c r="AJ166" s="43">
        <v>2</v>
      </c>
      <c r="AK166" s="43">
        <v>1</v>
      </c>
      <c r="AL166" s="43">
        <v>0</v>
      </c>
      <c r="AM166" s="43">
        <v>0</v>
      </c>
    </row>
    <row r="167" spans="1:39" x14ac:dyDescent="0.2">
      <c r="A167" s="43" t="s">
        <v>412</v>
      </c>
      <c r="B167" s="43" t="s">
        <v>53</v>
      </c>
      <c r="C167" s="43">
        <v>0</v>
      </c>
      <c r="D167" s="43">
        <v>0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  <c r="V167" s="43">
        <v>1</v>
      </c>
      <c r="W167" s="43">
        <v>0</v>
      </c>
      <c r="X167" s="43">
        <v>1</v>
      </c>
      <c r="Y167" s="43">
        <v>1</v>
      </c>
      <c r="Z167" s="43">
        <v>1</v>
      </c>
      <c r="AA167" s="43">
        <v>1</v>
      </c>
      <c r="AB167" s="43">
        <v>2</v>
      </c>
      <c r="AC167" s="43">
        <v>1</v>
      </c>
      <c r="AD167" s="43">
        <v>1</v>
      </c>
      <c r="AE167" s="43">
        <v>1</v>
      </c>
      <c r="AF167" s="43">
        <v>1</v>
      </c>
      <c r="AG167" s="43">
        <v>1</v>
      </c>
      <c r="AH167" s="43">
        <v>2</v>
      </c>
      <c r="AI167" s="43">
        <v>1</v>
      </c>
      <c r="AJ167" s="43">
        <v>1</v>
      </c>
      <c r="AK167" s="43">
        <v>1</v>
      </c>
      <c r="AL167" s="43">
        <v>1</v>
      </c>
      <c r="AM167" s="43">
        <v>0</v>
      </c>
    </row>
    <row r="168" spans="1:39" x14ac:dyDescent="0.2">
      <c r="A168" s="43" t="s">
        <v>417</v>
      </c>
      <c r="B168" s="43" t="s">
        <v>53</v>
      </c>
      <c r="C168" s="43">
        <v>0</v>
      </c>
      <c r="D168" s="43">
        <v>0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1</v>
      </c>
      <c r="S168" s="43">
        <v>1</v>
      </c>
      <c r="T168" s="43">
        <v>1</v>
      </c>
      <c r="U168" s="43">
        <v>1</v>
      </c>
      <c r="V168" s="43">
        <v>2</v>
      </c>
      <c r="W168" s="43">
        <v>1</v>
      </c>
      <c r="X168" s="43">
        <v>2</v>
      </c>
      <c r="Y168" s="43">
        <v>2</v>
      </c>
      <c r="Z168" s="43">
        <v>2</v>
      </c>
      <c r="AA168" s="43">
        <v>2</v>
      </c>
      <c r="AB168" s="43">
        <v>2</v>
      </c>
      <c r="AC168" s="43">
        <v>2</v>
      </c>
      <c r="AD168" s="43">
        <v>2</v>
      </c>
      <c r="AE168" s="43">
        <v>2</v>
      </c>
      <c r="AF168" s="43">
        <v>2</v>
      </c>
      <c r="AG168" s="43">
        <v>2</v>
      </c>
      <c r="AH168" s="43">
        <v>2</v>
      </c>
      <c r="AI168" s="43">
        <v>2</v>
      </c>
      <c r="AJ168" s="43">
        <v>2</v>
      </c>
      <c r="AK168" s="43">
        <v>2</v>
      </c>
      <c r="AL168" s="43">
        <v>1</v>
      </c>
      <c r="AM168" s="43">
        <v>0</v>
      </c>
    </row>
    <row r="169" spans="1:39" x14ac:dyDescent="0.2">
      <c r="A169" s="43" t="s">
        <v>422</v>
      </c>
      <c r="B169" s="43" t="s">
        <v>53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1</v>
      </c>
      <c r="N169" s="43">
        <v>1</v>
      </c>
      <c r="O169" s="43">
        <v>1</v>
      </c>
      <c r="P169" s="43">
        <v>1</v>
      </c>
      <c r="Q169" s="43">
        <v>1</v>
      </c>
      <c r="R169" s="43">
        <v>1</v>
      </c>
      <c r="S169" s="43">
        <v>1</v>
      </c>
      <c r="T169" s="43">
        <v>1</v>
      </c>
      <c r="U169" s="43">
        <v>1</v>
      </c>
      <c r="V169" s="43">
        <v>1</v>
      </c>
      <c r="W169" s="43">
        <v>2</v>
      </c>
      <c r="X169" s="43">
        <v>2</v>
      </c>
      <c r="Y169" s="43">
        <v>2</v>
      </c>
      <c r="Z169" s="43">
        <v>2</v>
      </c>
      <c r="AA169" s="43">
        <v>2</v>
      </c>
      <c r="AB169" s="43">
        <v>2</v>
      </c>
      <c r="AC169" s="43">
        <v>2</v>
      </c>
      <c r="AD169" s="43">
        <v>2</v>
      </c>
      <c r="AE169" s="43">
        <v>2</v>
      </c>
      <c r="AF169" s="43">
        <v>2</v>
      </c>
      <c r="AG169" s="43">
        <v>2</v>
      </c>
      <c r="AH169" s="43">
        <v>2</v>
      </c>
      <c r="AI169" s="43">
        <v>2</v>
      </c>
      <c r="AJ169" s="43">
        <v>2</v>
      </c>
      <c r="AK169" s="43">
        <v>2</v>
      </c>
      <c r="AL169" s="43">
        <v>2</v>
      </c>
      <c r="AM169" s="43">
        <v>1</v>
      </c>
    </row>
    <row r="170" spans="1:39" x14ac:dyDescent="0.2">
      <c r="A170" s="43" t="s">
        <v>427</v>
      </c>
      <c r="B170" s="43" t="s">
        <v>53</v>
      </c>
      <c r="C170" s="43">
        <v>0</v>
      </c>
      <c r="D170" s="43">
        <v>1</v>
      </c>
      <c r="E170" s="43">
        <v>1</v>
      </c>
      <c r="F170" s="43">
        <v>1</v>
      </c>
      <c r="G170" s="43">
        <v>1</v>
      </c>
      <c r="H170" s="43">
        <v>1</v>
      </c>
      <c r="I170" s="43">
        <v>1</v>
      </c>
      <c r="J170" s="43">
        <v>1</v>
      </c>
      <c r="K170" s="43">
        <v>1</v>
      </c>
      <c r="L170" s="43">
        <v>1</v>
      </c>
      <c r="M170" s="43">
        <v>1</v>
      </c>
      <c r="N170" s="43">
        <v>1</v>
      </c>
      <c r="O170" s="43">
        <v>1</v>
      </c>
      <c r="P170" s="43">
        <v>1</v>
      </c>
      <c r="Q170" s="43">
        <v>1</v>
      </c>
      <c r="R170" s="43">
        <v>1</v>
      </c>
      <c r="S170" s="43">
        <v>1</v>
      </c>
      <c r="T170" s="43">
        <v>1</v>
      </c>
      <c r="U170" s="43">
        <v>1</v>
      </c>
      <c r="V170" s="43">
        <v>1</v>
      </c>
      <c r="W170" s="43">
        <v>2</v>
      </c>
      <c r="X170" s="43">
        <v>2</v>
      </c>
      <c r="Y170" s="43">
        <v>2</v>
      </c>
      <c r="Z170" s="43">
        <v>2</v>
      </c>
      <c r="AA170" s="43">
        <v>2</v>
      </c>
      <c r="AB170" s="43">
        <v>2</v>
      </c>
      <c r="AC170" s="43">
        <v>2</v>
      </c>
      <c r="AD170" s="43">
        <v>2</v>
      </c>
      <c r="AE170" s="43">
        <v>2</v>
      </c>
      <c r="AF170" s="43">
        <v>2</v>
      </c>
      <c r="AG170" s="43">
        <v>2</v>
      </c>
      <c r="AH170" s="43">
        <v>2</v>
      </c>
      <c r="AI170" s="43">
        <v>2</v>
      </c>
      <c r="AJ170" s="43">
        <v>2</v>
      </c>
      <c r="AK170" s="43">
        <v>2</v>
      </c>
      <c r="AL170" s="43">
        <v>2</v>
      </c>
      <c r="AM170" s="43">
        <v>0</v>
      </c>
    </row>
    <row r="171" spans="1:39" x14ac:dyDescent="0.2">
      <c r="A171" s="43" t="s">
        <v>433</v>
      </c>
      <c r="B171" s="43" t="s">
        <v>53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1</v>
      </c>
      <c r="P171" s="43">
        <v>1</v>
      </c>
      <c r="Q171" s="43">
        <v>1</v>
      </c>
      <c r="R171" s="43">
        <v>1</v>
      </c>
      <c r="S171" s="43">
        <v>1</v>
      </c>
      <c r="T171" s="43">
        <v>1</v>
      </c>
      <c r="U171" s="43">
        <v>1</v>
      </c>
      <c r="V171" s="43">
        <v>1</v>
      </c>
      <c r="W171" s="43">
        <v>2</v>
      </c>
      <c r="X171" s="43">
        <v>2</v>
      </c>
      <c r="Y171" s="43">
        <v>2</v>
      </c>
      <c r="Z171" s="43">
        <v>2</v>
      </c>
      <c r="AA171" s="43">
        <v>1</v>
      </c>
      <c r="AB171" s="43">
        <v>1</v>
      </c>
      <c r="AC171" s="43">
        <v>2</v>
      </c>
      <c r="AD171" s="43">
        <v>2</v>
      </c>
      <c r="AE171" s="43">
        <v>2</v>
      </c>
      <c r="AF171" s="43">
        <v>1</v>
      </c>
      <c r="AG171" s="43">
        <v>1</v>
      </c>
      <c r="AH171" s="43">
        <v>2</v>
      </c>
      <c r="AI171" s="43">
        <v>2</v>
      </c>
      <c r="AJ171" s="43">
        <v>1</v>
      </c>
      <c r="AK171" s="43">
        <v>1</v>
      </c>
      <c r="AL171" s="43">
        <v>2</v>
      </c>
      <c r="AM171" s="43">
        <v>0</v>
      </c>
    </row>
    <row r="172" spans="1:39" x14ac:dyDescent="0.2">
      <c r="A172" s="43" t="s">
        <v>438</v>
      </c>
      <c r="B172" s="43" t="s">
        <v>53</v>
      </c>
      <c r="C172" s="43">
        <v>0</v>
      </c>
      <c r="D172" s="43">
        <v>2</v>
      </c>
      <c r="E172" s="43">
        <v>1</v>
      </c>
      <c r="F172" s="43">
        <v>1</v>
      </c>
      <c r="G172" s="43">
        <v>1</v>
      </c>
      <c r="H172" s="43">
        <v>1</v>
      </c>
      <c r="I172" s="43">
        <v>2</v>
      </c>
      <c r="J172" s="43">
        <v>1</v>
      </c>
      <c r="K172" s="43">
        <v>1</v>
      </c>
      <c r="L172" s="43">
        <v>1</v>
      </c>
      <c r="M172" s="43">
        <v>1</v>
      </c>
      <c r="N172" s="43">
        <v>2</v>
      </c>
      <c r="O172" s="43">
        <v>1</v>
      </c>
      <c r="P172" s="43">
        <v>1</v>
      </c>
      <c r="Q172" s="43">
        <v>2</v>
      </c>
      <c r="R172" s="43">
        <v>1</v>
      </c>
      <c r="S172" s="43">
        <v>1</v>
      </c>
      <c r="T172" s="43">
        <v>2</v>
      </c>
      <c r="U172" s="43">
        <v>1</v>
      </c>
      <c r="V172" s="43">
        <v>1</v>
      </c>
      <c r="W172" s="43">
        <v>1</v>
      </c>
      <c r="X172" s="43">
        <v>1</v>
      </c>
      <c r="Y172" s="43">
        <v>2</v>
      </c>
      <c r="Z172" s="43">
        <v>1</v>
      </c>
      <c r="AA172" s="43">
        <v>1</v>
      </c>
      <c r="AB172" s="43">
        <v>1</v>
      </c>
      <c r="AC172" s="43">
        <v>1</v>
      </c>
      <c r="AD172" s="43">
        <v>1</v>
      </c>
      <c r="AE172" s="43">
        <v>2</v>
      </c>
      <c r="AF172" s="43">
        <v>1</v>
      </c>
      <c r="AG172" s="43">
        <v>1</v>
      </c>
      <c r="AH172" s="43">
        <v>1</v>
      </c>
      <c r="AI172" s="43">
        <v>2</v>
      </c>
      <c r="AJ172" s="43">
        <v>1</v>
      </c>
      <c r="AK172" s="43">
        <v>1</v>
      </c>
      <c r="AL172" s="43">
        <v>1</v>
      </c>
      <c r="AM172" s="43">
        <v>0</v>
      </c>
    </row>
    <row r="173" spans="1:39" x14ac:dyDescent="0.2">
      <c r="A173" s="43" t="s">
        <v>444</v>
      </c>
      <c r="B173" s="43" t="s">
        <v>53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2</v>
      </c>
      <c r="U173" s="43">
        <v>1</v>
      </c>
      <c r="V173" s="43">
        <v>1</v>
      </c>
      <c r="W173" s="43">
        <v>1</v>
      </c>
      <c r="X173" s="43">
        <v>1</v>
      </c>
      <c r="Y173" s="43">
        <v>2</v>
      </c>
      <c r="Z173" s="43">
        <v>1</v>
      </c>
      <c r="AA173" s="43">
        <v>1</v>
      </c>
      <c r="AB173" s="43">
        <v>1</v>
      </c>
      <c r="AC173" s="43">
        <v>1</v>
      </c>
      <c r="AD173" s="43">
        <v>2</v>
      </c>
      <c r="AE173" s="43">
        <v>1</v>
      </c>
      <c r="AF173" s="43">
        <v>1</v>
      </c>
      <c r="AG173" s="43">
        <v>1</v>
      </c>
      <c r="AH173" s="43">
        <v>1</v>
      </c>
      <c r="AI173" s="43">
        <v>1</v>
      </c>
      <c r="AJ173" s="43">
        <v>2</v>
      </c>
      <c r="AK173" s="43">
        <v>1</v>
      </c>
      <c r="AL173" s="43">
        <v>1</v>
      </c>
      <c r="AM173" s="43">
        <v>0</v>
      </c>
    </row>
    <row r="174" spans="1:39" x14ac:dyDescent="0.2">
      <c r="A174" s="43" t="s">
        <v>448</v>
      </c>
      <c r="B174" s="43" t="s">
        <v>53</v>
      </c>
      <c r="C174" s="43">
        <v>0</v>
      </c>
      <c r="D174" s="43">
        <v>1</v>
      </c>
      <c r="E174" s="43">
        <v>1</v>
      </c>
      <c r="F174" s="43">
        <v>1</v>
      </c>
      <c r="G174" s="43">
        <v>1</v>
      </c>
      <c r="H174" s="43">
        <v>1</v>
      </c>
      <c r="I174" s="43">
        <v>1</v>
      </c>
      <c r="J174" s="43">
        <v>1</v>
      </c>
      <c r="K174" s="43">
        <v>1</v>
      </c>
      <c r="L174" s="43">
        <v>1</v>
      </c>
      <c r="M174" s="43">
        <v>1</v>
      </c>
      <c r="N174" s="43">
        <v>1</v>
      </c>
      <c r="O174" s="43">
        <v>1</v>
      </c>
      <c r="P174" s="43">
        <v>1</v>
      </c>
      <c r="Q174" s="43">
        <v>1</v>
      </c>
      <c r="R174" s="43">
        <v>1</v>
      </c>
      <c r="S174" s="43">
        <v>1</v>
      </c>
      <c r="T174" s="43">
        <v>1</v>
      </c>
      <c r="U174" s="43">
        <v>1</v>
      </c>
      <c r="V174" s="43">
        <v>1</v>
      </c>
      <c r="W174" s="43">
        <v>2</v>
      </c>
      <c r="X174" s="43">
        <v>2</v>
      </c>
      <c r="Y174" s="43">
        <v>2</v>
      </c>
      <c r="Z174" s="43">
        <v>2</v>
      </c>
      <c r="AA174" s="43">
        <v>2</v>
      </c>
      <c r="AB174" s="43">
        <v>2</v>
      </c>
      <c r="AC174" s="43">
        <v>2</v>
      </c>
      <c r="AD174" s="43">
        <v>2</v>
      </c>
      <c r="AE174" s="43">
        <v>2</v>
      </c>
      <c r="AF174" s="43">
        <v>2</v>
      </c>
      <c r="AG174" s="43">
        <v>2</v>
      </c>
      <c r="AH174" s="43">
        <v>2</v>
      </c>
      <c r="AI174" s="43">
        <v>2</v>
      </c>
      <c r="AJ174" s="43">
        <v>2</v>
      </c>
      <c r="AK174" s="43">
        <v>2</v>
      </c>
      <c r="AL174" s="43">
        <v>2</v>
      </c>
      <c r="AM174" s="43">
        <v>0</v>
      </c>
    </row>
    <row r="175" spans="1:39" x14ac:dyDescent="0.2">
      <c r="A175" s="43" t="s">
        <v>454</v>
      </c>
      <c r="B175" s="43" t="s">
        <v>53</v>
      </c>
      <c r="C175" s="43">
        <v>0</v>
      </c>
      <c r="D175" s="43">
        <v>0</v>
      </c>
      <c r="E175" s="43">
        <v>0</v>
      </c>
      <c r="F175" s="43">
        <v>1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1</v>
      </c>
      <c r="N175" s="43">
        <v>0</v>
      </c>
      <c r="O175" s="43">
        <v>0</v>
      </c>
      <c r="P175" s="43">
        <v>0</v>
      </c>
      <c r="Q175" s="43">
        <v>0</v>
      </c>
      <c r="R175" s="43">
        <v>1</v>
      </c>
      <c r="S175" s="43">
        <v>0</v>
      </c>
      <c r="T175" s="43">
        <v>0</v>
      </c>
      <c r="U175" s="43">
        <v>0</v>
      </c>
      <c r="V175" s="43">
        <v>0</v>
      </c>
      <c r="W175" s="43">
        <v>2</v>
      </c>
      <c r="X175" s="43">
        <v>1</v>
      </c>
      <c r="Y175" s="43">
        <v>1</v>
      </c>
      <c r="Z175" s="43">
        <v>1</v>
      </c>
      <c r="AA175" s="43">
        <v>1</v>
      </c>
      <c r="AB175" s="43">
        <v>2</v>
      </c>
      <c r="AC175" s="43">
        <v>1</v>
      </c>
      <c r="AD175" s="43">
        <v>1</v>
      </c>
      <c r="AE175" s="43">
        <v>1</v>
      </c>
      <c r="AF175" s="43">
        <v>2</v>
      </c>
      <c r="AG175" s="43">
        <v>1</v>
      </c>
      <c r="AH175" s="43">
        <v>2</v>
      </c>
      <c r="AI175" s="43">
        <v>1</v>
      </c>
      <c r="AJ175" s="43">
        <v>1</v>
      </c>
      <c r="AK175" s="43">
        <v>2</v>
      </c>
      <c r="AL175" s="43">
        <v>1</v>
      </c>
      <c r="AM175" s="43">
        <v>0</v>
      </c>
    </row>
    <row r="176" spans="1:39" x14ac:dyDescent="0.2">
      <c r="A176" s="43" t="s">
        <v>458</v>
      </c>
      <c r="B176" s="43" t="s">
        <v>53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1</v>
      </c>
      <c r="T176" s="43">
        <v>1</v>
      </c>
      <c r="U176" s="43">
        <v>1</v>
      </c>
      <c r="V176" s="43">
        <v>1</v>
      </c>
      <c r="W176" s="43">
        <v>2</v>
      </c>
      <c r="X176" s="43">
        <v>2</v>
      </c>
      <c r="Y176" s="43">
        <v>2</v>
      </c>
      <c r="Z176" s="43">
        <v>2</v>
      </c>
      <c r="AA176" s="43">
        <v>2</v>
      </c>
      <c r="AB176" s="43">
        <v>2</v>
      </c>
      <c r="AC176" s="43">
        <v>2</v>
      </c>
      <c r="AD176" s="43">
        <v>2</v>
      </c>
      <c r="AE176" s="43">
        <v>2</v>
      </c>
      <c r="AF176" s="43">
        <v>2</v>
      </c>
      <c r="AG176" s="43">
        <v>1</v>
      </c>
      <c r="AH176" s="43">
        <v>1</v>
      </c>
      <c r="AI176" s="43">
        <v>1</v>
      </c>
      <c r="AJ176" s="43">
        <v>0</v>
      </c>
      <c r="AK176" s="43">
        <v>0</v>
      </c>
      <c r="AL176" s="43">
        <v>0</v>
      </c>
      <c r="AM176" s="43">
        <v>0</v>
      </c>
    </row>
    <row r="177" spans="1:39" x14ac:dyDescent="0.2">
      <c r="A177" s="43" t="s">
        <v>462</v>
      </c>
      <c r="B177" s="43" t="s">
        <v>53</v>
      </c>
      <c r="C177" s="43">
        <v>0</v>
      </c>
      <c r="D177" s="43">
        <v>1</v>
      </c>
      <c r="E177" s="43">
        <v>1</v>
      </c>
      <c r="F177" s="43">
        <v>1</v>
      </c>
      <c r="G177" s="43">
        <v>1</v>
      </c>
      <c r="H177" s="43">
        <v>1</v>
      </c>
      <c r="I177" s="43">
        <v>1</v>
      </c>
      <c r="J177" s="43">
        <v>1</v>
      </c>
      <c r="K177" s="43">
        <v>1</v>
      </c>
      <c r="L177" s="43">
        <v>1</v>
      </c>
      <c r="M177" s="43">
        <v>1</v>
      </c>
      <c r="N177" s="43">
        <v>1</v>
      </c>
      <c r="O177" s="43">
        <v>1</v>
      </c>
      <c r="P177" s="43">
        <v>1</v>
      </c>
      <c r="Q177" s="43">
        <v>1</v>
      </c>
      <c r="R177" s="43">
        <v>1</v>
      </c>
      <c r="S177" s="43">
        <v>1</v>
      </c>
      <c r="T177" s="43">
        <v>1</v>
      </c>
      <c r="U177" s="43">
        <v>1</v>
      </c>
      <c r="V177" s="43">
        <v>1</v>
      </c>
      <c r="W177" s="43">
        <v>1</v>
      </c>
      <c r="X177" s="43">
        <v>1</v>
      </c>
      <c r="Y177" s="43">
        <v>1</v>
      </c>
      <c r="Z177" s="43">
        <v>1</v>
      </c>
      <c r="AA177" s="43">
        <v>1</v>
      </c>
      <c r="AB177" s="43">
        <v>1</v>
      </c>
      <c r="AC177" s="43">
        <v>1</v>
      </c>
      <c r="AD177" s="43">
        <v>1</v>
      </c>
      <c r="AE177" s="43">
        <v>2</v>
      </c>
      <c r="AF177" s="43">
        <v>2</v>
      </c>
      <c r="AG177" s="43">
        <v>2</v>
      </c>
      <c r="AH177" s="43">
        <v>2</v>
      </c>
      <c r="AI177" s="43">
        <v>2</v>
      </c>
      <c r="AJ177" s="43">
        <v>2</v>
      </c>
      <c r="AK177" s="43">
        <v>1</v>
      </c>
      <c r="AL177" s="43">
        <v>1</v>
      </c>
      <c r="AM177" s="43">
        <v>0</v>
      </c>
    </row>
    <row r="178" spans="1:39" x14ac:dyDescent="0.2">
      <c r="A178" s="43" t="s">
        <v>467</v>
      </c>
      <c r="B178" s="43" t="s">
        <v>53</v>
      </c>
      <c r="C178" s="43">
        <v>0</v>
      </c>
      <c r="D178" s="43">
        <v>0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1</v>
      </c>
      <c r="Q178" s="43">
        <v>1</v>
      </c>
      <c r="R178" s="43">
        <v>1</v>
      </c>
      <c r="S178" s="43">
        <v>1</v>
      </c>
      <c r="T178" s="43">
        <v>1</v>
      </c>
      <c r="U178" s="43">
        <v>1</v>
      </c>
      <c r="V178" s="43">
        <v>1</v>
      </c>
      <c r="W178" s="43">
        <v>2</v>
      </c>
      <c r="X178" s="43">
        <v>2</v>
      </c>
      <c r="Y178" s="43">
        <v>2</v>
      </c>
      <c r="Z178" s="43">
        <v>2</v>
      </c>
      <c r="AA178" s="43">
        <v>2</v>
      </c>
      <c r="AB178" s="43">
        <v>2</v>
      </c>
      <c r="AC178" s="43">
        <v>2</v>
      </c>
      <c r="AD178" s="43">
        <v>2</v>
      </c>
      <c r="AE178" s="43">
        <v>2</v>
      </c>
      <c r="AF178" s="43">
        <v>2</v>
      </c>
      <c r="AG178" s="43">
        <v>2</v>
      </c>
      <c r="AH178" s="43">
        <v>2</v>
      </c>
      <c r="AI178" s="43">
        <v>2</v>
      </c>
      <c r="AJ178" s="43">
        <v>2</v>
      </c>
      <c r="AK178" s="43">
        <v>2</v>
      </c>
      <c r="AL178" s="43">
        <v>1</v>
      </c>
      <c r="AM178" s="43">
        <v>0</v>
      </c>
    </row>
    <row r="179" spans="1:39" x14ac:dyDescent="0.2">
      <c r="A179" s="43" t="s">
        <v>473</v>
      </c>
      <c r="B179" s="43" t="s">
        <v>53</v>
      </c>
      <c r="C179" s="43">
        <v>0</v>
      </c>
      <c r="D179" s="43">
        <v>0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1</v>
      </c>
      <c r="O179" s="43">
        <v>0</v>
      </c>
      <c r="P179" s="43">
        <v>0</v>
      </c>
      <c r="Q179" s="43">
        <v>0</v>
      </c>
      <c r="R179" s="43">
        <v>1</v>
      </c>
      <c r="S179" s="43">
        <v>0</v>
      </c>
      <c r="T179" s="43">
        <v>0</v>
      </c>
      <c r="U179" s="43">
        <v>0</v>
      </c>
      <c r="V179" s="43">
        <v>1</v>
      </c>
      <c r="W179" s="43">
        <v>1</v>
      </c>
      <c r="X179" s="43">
        <v>1</v>
      </c>
      <c r="Y179" s="43">
        <v>1</v>
      </c>
      <c r="Z179" s="43">
        <v>1</v>
      </c>
      <c r="AA179" s="43">
        <v>1</v>
      </c>
      <c r="AB179" s="43">
        <v>1</v>
      </c>
      <c r="AC179" s="43">
        <v>1</v>
      </c>
      <c r="AD179" s="43">
        <v>1</v>
      </c>
      <c r="AE179" s="43">
        <v>1</v>
      </c>
      <c r="AF179" s="43">
        <v>1</v>
      </c>
      <c r="AG179" s="43">
        <v>1</v>
      </c>
      <c r="AH179" s="43">
        <v>1</v>
      </c>
      <c r="AI179" s="43">
        <v>1</v>
      </c>
      <c r="AJ179" s="43">
        <v>1</v>
      </c>
      <c r="AK179" s="43">
        <v>1</v>
      </c>
      <c r="AL179" s="43">
        <v>1</v>
      </c>
      <c r="AM179" s="43">
        <v>0</v>
      </c>
    </row>
    <row r="180" spans="1:39" x14ac:dyDescent="0.2">
      <c r="A180" s="43" t="s">
        <v>479</v>
      </c>
      <c r="B180" s="43" t="s">
        <v>53</v>
      </c>
      <c r="C180" s="43">
        <v>0</v>
      </c>
      <c r="D180" s="43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1</v>
      </c>
      <c r="W180" s="43">
        <v>1</v>
      </c>
      <c r="X180" s="43">
        <v>1</v>
      </c>
      <c r="Y180" s="43">
        <v>1</v>
      </c>
      <c r="Z180" s="43">
        <v>1</v>
      </c>
      <c r="AA180" s="43">
        <v>1</v>
      </c>
      <c r="AB180" s="43">
        <v>1</v>
      </c>
      <c r="AC180" s="43">
        <v>2</v>
      </c>
      <c r="AD180" s="43">
        <v>2</v>
      </c>
      <c r="AE180" s="43">
        <v>2</v>
      </c>
      <c r="AF180" s="43">
        <v>2</v>
      </c>
      <c r="AG180" s="43">
        <v>2</v>
      </c>
      <c r="AH180" s="43">
        <v>2</v>
      </c>
      <c r="AI180" s="43">
        <v>2</v>
      </c>
      <c r="AJ180" s="43">
        <v>2</v>
      </c>
      <c r="AK180" s="43">
        <v>2</v>
      </c>
      <c r="AL180" s="43">
        <v>2</v>
      </c>
      <c r="AM180" s="43">
        <v>2</v>
      </c>
    </row>
    <row r="181" spans="1:39" x14ac:dyDescent="0.2">
      <c r="A181" s="43" t="s">
        <v>484</v>
      </c>
      <c r="B181" s="43" t="s">
        <v>53</v>
      </c>
      <c r="C181" s="43">
        <v>0</v>
      </c>
      <c r="D181" s="43">
        <v>0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1</v>
      </c>
      <c r="S181" s="43">
        <v>0</v>
      </c>
      <c r="T181" s="43">
        <v>0</v>
      </c>
      <c r="U181" s="43">
        <v>0</v>
      </c>
      <c r="V181" s="43">
        <v>0</v>
      </c>
      <c r="W181" s="43">
        <v>0</v>
      </c>
      <c r="X181" s="43">
        <v>0</v>
      </c>
      <c r="Y181" s="43">
        <v>0</v>
      </c>
      <c r="Z181" s="43">
        <v>1</v>
      </c>
      <c r="AA181" s="43">
        <v>0</v>
      </c>
      <c r="AB181" s="43">
        <v>0</v>
      </c>
      <c r="AC181" s="43">
        <v>0</v>
      </c>
      <c r="AD181" s="43">
        <v>0</v>
      </c>
      <c r="AE181" s="43">
        <v>0</v>
      </c>
      <c r="AF181" s="43">
        <v>1</v>
      </c>
      <c r="AG181" s="43">
        <v>0</v>
      </c>
      <c r="AH181" s="43">
        <v>0</v>
      </c>
      <c r="AI181" s="43">
        <v>0</v>
      </c>
      <c r="AJ181" s="43">
        <v>0</v>
      </c>
      <c r="AK181" s="43">
        <v>0</v>
      </c>
      <c r="AL181" s="43">
        <v>0</v>
      </c>
      <c r="AM181" s="43">
        <v>0</v>
      </c>
    </row>
    <row r="182" spans="1:39" x14ac:dyDescent="0.2">
      <c r="A182" s="43" t="s">
        <v>487</v>
      </c>
      <c r="B182" s="43" t="s">
        <v>53</v>
      </c>
      <c r="C182" s="43">
        <v>0</v>
      </c>
      <c r="D182" s="43">
        <v>1</v>
      </c>
      <c r="E182" s="43">
        <v>1</v>
      </c>
      <c r="F182" s="43">
        <v>1</v>
      </c>
      <c r="G182" s="43">
        <v>1</v>
      </c>
      <c r="H182" s="43">
        <v>1</v>
      </c>
      <c r="I182" s="43">
        <v>1</v>
      </c>
      <c r="J182" s="43">
        <v>1</v>
      </c>
      <c r="K182" s="43">
        <v>1</v>
      </c>
      <c r="L182" s="43">
        <v>1</v>
      </c>
      <c r="M182" s="43">
        <v>1</v>
      </c>
      <c r="N182" s="43">
        <v>1</v>
      </c>
      <c r="O182" s="43">
        <v>1</v>
      </c>
      <c r="P182" s="43">
        <v>1</v>
      </c>
      <c r="Q182" s="43">
        <v>1</v>
      </c>
      <c r="R182" s="43">
        <v>1</v>
      </c>
      <c r="S182" s="43">
        <v>1</v>
      </c>
      <c r="T182" s="43">
        <v>1</v>
      </c>
      <c r="U182" s="43">
        <v>1</v>
      </c>
      <c r="V182" s="43">
        <v>1</v>
      </c>
      <c r="W182" s="43">
        <v>2</v>
      </c>
      <c r="X182" s="43">
        <v>2</v>
      </c>
      <c r="Y182" s="43">
        <v>2</v>
      </c>
      <c r="Z182" s="43">
        <v>2</v>
      </c>
      <c r="AA182" s="43">
        <v>2</v>
      </c>
      <c r="AB182" s="43">
        <v>2</v>
      </c>
      <c r="AC182" s="43">
        <v>2</v>
      </c>
      <c r="AD182" s="43">
        <v>2</v>
      </c>
      <c r="AE182" s="43">
        <v>2</v>
      </c>
      <c r="AF182" s="43">
        <v>2</v>
      </c>
      <c r="AG182" s="43">
        <v>2</v>
      </c>
      <c r="AH182" s="43">
        <v>2</v>
      </c>
      <c r="AI182" s="43">
        <v>2</v>
      </c>
      <c r="AJ182" s="43">
        <v>2</v>
      </c>
      <c r="AK182" s="43">
        <v>2</v>
      </c>
      <c r="AL182" s="43">
        <v>1</v>
      </c>
      <c r="AM182" s="43">
        <v>0</v>
      </c>
    </row>
    <row r="183" spans="1:39" x14ac:dyDescent="0.2">
      <c r="A183" s="43" t="s">
        <v>491</v>
      </c>
      <c r="B183" s="43" t="s">
        <v>53</v>
      </c>
      <c r="C183" s="43">
        <v>0</v>
      </c>
      <c r="D183" s="43">
        <v>0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1</v>
      </c>
      <c r="T183" s="43">
        <v>0</v>
      </c>
      <c r="U183" s="43">
        <v>0</v>
      </c>
      <c r="V183" s="43">
        <v>0</v>
      </c>
      <c r="W183" s="43">
        <v>0</v>
      </c>
      <c r="X183" s="43">
        <v>1</v>
      </c>
      <c r="Y183" s="43">
        <v>1</v>
      </c>
      <c r="Z183" s="43">
        <v>1</v>
      </c>
      <c r="AA183" s="43">
        <v>2</v>
      </c>
      <c r="AB183" s="43">
        <v>1</v>
      </c>
      <c r="AC183" s="43">
        <v>1</v>
      </c>
      <c r="AD183" s="43">
        <v>1</v>
      </c>
      <c r="AE183" s="43">
        <v>1</v>
      </c>
      <c r="AF183" s="43">
        <v>1</v>
      </c>
      <c r="AG183" s="43">
        <v>1</v>
      </c>
      <c r="AH183" s="43">
        <v>2</v>
      </c>
      <c r="AI183" s="43">
        <v>1</v>
      </c>
      <c r="AJ183" s="43">
        <v>1</v>
      </c>
      <c r="AK183" s="43">
        <v>1</v>
      </c>
      <c r="AL183" s="43">
        <v>1</v>
      </c>
      <c r="AM183" s="43">
        <v>0</v>
      </c>
    </row>
    <row r="184" spans="1:39" x14ac:dyDescent="0.2">
      <c r="A184" s="43" t="s">
        <v>497</v>
      </c>
      <c r="B184" s="43" t="s">
        <v>53</v>
      </c>
      <c r="C184" s="43">
        <v>0</v>
      </c>
      <c r="D184" s="43">
        <v>0</v>
      </c>
      <c r="E184" s="43">
        <v>0</v>
      </c>
      <c r="F184" s="43">
        <v>0</v>
      </c>
      <c r="G184" s="43">
        <v>1</v>
      </c>
      <c r="H184" s="43">
        <v>0</v>
      </c>
      <c r="I184" s="43">
        <v>0</v>
      </c>
      <c r="J184" s="43">
        <v>0</v>
      </c>
      <c r="K184" s="43">
        <v>0</v>
      </c>
      <c r="L184" s="43">
        <v>0</v>
      </c>
      <c r="M184" s="43">
        <v>1</v>
      </c>
      <c r="N184" s="43">
        <v>0</v>
      </c>
      <c r="O184" s="43">
        <v>0</v>
      </c>
      <c r="P184" s="43">
        <v>0</v>
      </c>
      <c r="Q184" s="43">
        <v>0</v>
      </c>
      <c r="R184" s="43">
        <v>1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3">
        <v>2</v>
      </c>
      <c r="Y184" s="43">
        <v>1</v>
      </c>
      <c r="Z184" s="43">
        <v>1</v>
      </c>
      <c r="AA184" s="43">
        <v>1</v>
      </c>
      <c r="AB184" s="43">
        <v>1</v>
      </c>
      <c r="AC184" s="43">
        <v>2</v>
      </c>
      <c r="AD184" s="43">
        <v>1</v>
      </c>
      <c r="AE184" s="43">
        <v>1</v>
      </c>
      <c r="AF184" s="43">
        <v>1</v>
      </c>
      <c r="AG184" s="43">
        <v>1</v>
      </c>
      <c r="AH184" s="43">
        <v>2</v>
      </c>
      <c r="AI184" s="43">
        <v>1</v>
      </c>
      <c r="AJ184" s="43">
        <v>1</v>
      </c>
      <c r="AK184" s="43">
        <v>1</v>
      </c>
      <c r="AL184" s="43">
        <v>1</v>
      </c>
      <c r="AM184" s="43">
        <v>0</v>
      </c>
    </row>
    <row r="185" spans="1:39" x14ac:dyDescent="0.2">
      <c r="A185" s="43" t="s">
        <v>501</v>
      </c>
      <c r="B185" s="43" t="s">
        <v>53</v>
      </c>
      <c r="C185" s="43">
        <v>0</v>
      </c>
      <c r="D185" s="43">
        <v>1</v>
      </c>
      <c r="E185" s="43">
        <v>1</v>
      </c>
      <c r="F185" s="43">
        <v>1</v>
      </c>
      <c r="G185" s="43">
        <v>1</v>
      </c>
      <c r="H185" s="43">
        <v>1</v>
      </c>
      <c r="I185" s="43">
        <v>1</v>
      </c>
      <c r="J185" s="43">
        <v>1</v>
      </c>
      <c r="K185" s="43">
        <v>1</v>
      </c>
      <c r="L185" s="43">
        <v>1</v>
      </c>
      <c r="M185" s="43">
        <v>1</v>
      </c>
      <c r="N185" s="43">
        <v>1</v>
      </c>
      <c r="O185" s="43">
        <v>1</v>
      </c>
      <c r="P185" s="43">
        <v>1</v>
      </c>
      <c r="Q185" s="43">
        <v>1</v>
      </c>
      <c r="R185" s="43">
        <v>1</v>
      </c>
      <c r="S185" s="43">
        <v>1</v>
      </c>
      <c r="T185" s="43">
        <v>1</v>
      </c>
      <c r="U185" s="43">
        <v>1</v>
      </c>
      <c r="V185" s="43">
        <v>1</v>
      </c>
      <c r="W185" s="43">
        <v>1</v>
      </c>
      <c r="X185" s="43">
        <v>2</v>
      </c>
      <c r="Y185" s="43">
        <v>2</v>
      </c>
      <c r="Z185" s="43">
        <v>2</v>
      </c>
      <c r="AA185" s="43">
        <v>2</v>
      </c>
      <c r="AB185" s="43">
        <v>2</v>
      </c>
      <c r="AC185" s="43">
        <v>2</v>
      </c>
      <c r="AD185" s="43">
        <v>2</v>
      </c>
      <c r="AE185" s="43">
        <v>2</v>
      </c>
      <c r="AF185" s="43">
        <v>1</v>
      </c>
      <c r="AG185" s="43">
        <v>1</v>
      </c>
      <c r="AH185" s="43">
        <v>1</v>
      </c>
      <c r="AI185" s="43">
        <v>1</v>
      </c>
      <c r="AJ185" s="43">
        <v>1</v>
      </c>
      <c r="AK185" s="43">
        <v>1</v>
      </c>
      <c r="AL185" s="43">
        <v>1</v>
      </c>
      <c r="AM185" s="43">
        <v>0</v>
      </c>
    </row>
    <row r="186" spans="1:39" x14ac:dyDescent="0.2">
      <c r="A186" s="43" t="s">
        <v>507</v>
      </c>
      <c r="B186" s="43" t="s">
        <v>53</v>
      </c>
      <c r="C186" s="43">
        <v>0</v>
      </c>
      <c r="D186" s="43">
        <v>1</v>
      </c>
      <c r="E186" s="43">
        <v>1</v>
      </c>
      <c r="F186" s="43">
        <v>1</v>
      </c>
      <c r="G186" s="43">
        <v>1</v>
      </c>
      <c r="H186" s="43">
        <v>1</v>
      </c>
      <c r="I186" s="43">
        <v>1</v>
      </c>
      <c r="J186" s="43">
        <v>1</v>
      </c>
      <c r="K186" s="43">
        <v>1</v>
      </c>
      <c r="L186" s="43">
        <v>1</v>
      </c>
      <c r="M186" s="43">
        <v>1</v>
      </c>
      <c r="N186" s="43">
        <v>1</v>
      </c>
      <c r="O186" s="43">
        <v>1</v>
      </c>
      <c r="P186" s="43">
        <v>1</v>
      </c>
      <c r="Q186" s="43">
        <v>1</v>
      </c>
      <c r="R186" s="43">
        <v>1</v>
      </c>
      <c r="S186" s="43">
        <v>1</v>
      </c>
      <c r="T186" s="43">
        <v>1</v>
      </c>
      <c r="U186" s="43">
        <v>1</v>
      </c>
      <c r="V186" s="43">
        <v>1</v>
      </c>
      <c r="W186" s="43">
        <v>1</v>
      </c>
      <c r="X186" s="43">
        <v>1</v>
      </c>
      <c r="Y186" s="43">
        <v>1</v>
      </c>
      <c r="Z186" s="43">
        <v>1</v>
      </c>
      <c r="AA186" s="43">
        <v>1</v>
      </c>
      <c r="AB186" s="43">
        <v>1</v>
      </c>
      <c r="AC186" s="43">
        <v>1</v>
      </c>
      <c r="AD186" s="43">
        <v>1</v>
      </c>
      <c r="AE186" s="43">
        <v>1</v>
      </c>
      <c r="AF186" s="43">
        <v>1</v>
      </c>
      <c r="AG186" s="43">
        <v>1</v>
      </c>
      <c r="AH186" s="43">
        <v>1</v>
      </c>
      <c r="AI186" s="43">
        <v>1</v>
      </c>
      <c r="AJ186" s="43">
        <v>1</v>
      </c>
      <c r="AK186" s="43">
        <v>1</v>
      </c>
      <c r="AL186" s="43">
        <v>1</v>
      </c>
      <c r="AM186" s="43">
        <v>0</v>
      </c>
    </row>
    <row r="187" spans="1:39" x14ac:dyDescent="0.2">
      <c r="A187" s="43" t="s">
        <v>511</v>
      </c>
      <c r="B187" s="43" t="s">
        <v>53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1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1</v>
      </c>
      <c r="T187" s="43">
        <v>0</v>
      </c>
      <c r="U187" s="43">
        <v>0</v>
      </c>
      <c r="V187" s="43">
        <v>0</v>
      </c>
      <c r="W187" s="43">
        <v>1</v>
      </c>
      <c r="X187" s="43">
        <v>2</v>
      </c>
      <c r="Y187" s="43">
        <v>1</v>
      </c>
      <c r="Z187" s="43">
        <v>1</v>
      </c>
      <c r="AA187" s="43">
        <v>1</v>
      </c>
      <c r="AB187" s="43">
        <v>1</v>
      </c>
      <c r="AC187" s="43">
        <v>2</v>
      </c>
      <c r="AD187" s="43">
        <v>1</v>
      </c>
      <c r="AE187" s="43">
        <v>1</v>
      </c>
      <c r="AF187" s="43">
        <v>1</v>
      </c>
      <c r="AG187" s="43">
        <v>1</v>
      </c>
      <c r="AH187" s="43">
        <v>2</v>
      </c>
      <c r="AI187" s="43">
        <v>1</v>
      </c>
      <c r="AJ187" s="43">
        <v>1</v>
      </c>
      <c r="AK187" s="43">
        <v>1</v>
      </c>
      <c r="AL187" s="43">
        <v>1</v>
      </c>
      <c r="AM187" s="43">
        <v>0</v>
      </c>
    </row>
    <row r="188" spans="1:39" x14ac:dyDescent="0.2">
      <c r="A188" s="43" t="s">
        <v>515</v>
      </c>
      <c r="B188" s="43" t="s">
        <v>53</v>
      </c>
      <c r="C188" s="43">
        <v>0</v>
      </c>
      <c r="D188" s="43">
        <v>0</v>
      </c>
      <c r="E188" s="43">
        <v>0</v>
      </c>
      <c r="F188" s="43">
        <v>0</v>
      </c>
      <c r="G188" s="43">
        <v>1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3">
        <v>0</v>
      </c>
      <c r="Y188" s="43">
        <v>1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1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</row>
    <row r="189" spans="1:39" x14ac:dyDescent="0.2">
      <c r="A189" s="43" t="s">
        <v>518</v>
      </c>
      <c r="B189" s="43" t="s">
        <v>53</v>
      </c>
      <c r="C189" s="43">
        <v>0</v>
      </c>
      <c r="D189" s="43">
        <v>0</v>
      </c>
      <c r="E189" s="43">
        <v>0</v>
      </c>
      <c r="F189" s="43">
        <v>0</v>
      </c>
      <c r="G189" s="43">
        <v>1</v>
      </c>
      <c r="H189" s="43">
        <v>0</v>
      </c>
      <c r="I189" s="43">
        <v>0</v>
      </c>
      <c r="J189" s="43">
        <v>0</v>
      </c>
      <c r="K189" s="43">
        <v>0</v>
      </c>
      <c r="L189" s="43">
        <v>1</v>
      </c>
      <c r="M189" s="43">
        <v>0</v>
      </c>
      <c r="N189" s="43">
        <v>0</v>
      </c>
      <c r="O189" s="43">
        <v>0</v>
      </c>
      <c r="P189" s="43">
        <v>0</v>
      </c>
      <c r="Q189" s="43">
        <v>1</v>
      </c>
      <c r="R189" s="43">
        <v>0</v>
      </c>
      <c r="S189" s="43">
        <v>0</v>
      </c>
      <c r="T189" s="43">
        <v>0</v>
      </c>
      <c r="U189" s="43">
        <v>1</v>
      </c>
      <c r="V189" s="43">
        <v>0</v>
      </c>
      <c r="W189" s="43">
        <v>0</v>
      </c>
      <c r="X189" s="43">
        <v>0</v>
      </c>
      <c r="Y189" s="43">
        <v>0</v>
      </c>
      <c r="Z189" s="43">
        <v>1</v>
      </c>
      <c r="AA189" s="43">
        <v>0</v>
      </c>
      <c r="AB189" s="43">
        <v>0</v>
      </c>
      <c r="AC189" s="43">
        <v>0</v>
      </c>
      <c r="AD189" s="43">
        <v>0</v>
      </c>
      <c r="AE189" s="43">
        <v>1</v>
      </c>
      <c r="AF189" s="43">
        <v>0</v>
      </c>
      <c r="AG189" s="43">
        <v>0</v>
      </c>
      <c r="AH189" s="43">
        <v>0</v>
      </c>
      <c r="AI189" s="43">
        <v>0</v>
      </c>
      <c r="AJ189" s="43">
        <v>1</v>
      </c>
      <c r="AK189" s="43">
        <v>0</v>
      </c>
      <c r="AL189" s="43">
        <v>0</v>
      </c>
      <c r="AM189" s="43">
        <v>0</v>
      </c>
    </row>
    <row r="190" spans="1:39" x14ac:dyDescent="0.2">
      <c r="A190" s="43" t="s">
        <v>524</v>
      </c>
      <c r="B190" s="43" t="s">
        <v>53</v>
      </c>
      <c r="C190" s="43">
        <v>0</v>
      </c>
      <c r="D190" s="43">
        <v>1</v>
      </c>
      <c r="E190" s="43">
        <v>1</v>
      </c>
      <c r="F190" s="43">
        <v>1</v>
      </c>
      <c r="G190" s="43">
        <v>1</v>
      </c>
      <c r="H190" s="43">
        <v>1</v>
      </c>
      <c r="I190" s="43">
        <v>1</v>
      </c>
      <c r="J190" s="43">
        <v>1</v>
      </c>
      <c r="K190" s="43">
        <v>1</v>
      </c>
      <c r="L190" s="43">
        <v>1</v>
      </c>
      <c r="M190" s="43">
        <v>1</v>
      </c>
      <c r="N190" s="43">
        <v>1</v>
      </c>
      <c r="O190" s="43">
        <v>1</v>
      </c>
      <c r="P190" s="43">
        <v>1</v>
      </c>
      <c r="Q190" s="43">
        <v>1</v>
      </c>
      <c r="R190" s="43">
        <v>1</v>
      </c>
      <c r="S190" s="43">
        <v>1</v>
      </c>
      <c r="T190" s="43">
        <v>1</v>
      </c>
      <c r="U190" s="43">
        <v>1</v>
      </c>
      <c r="V190" s="43">
        <v>1</v>
      </c>
      <c r="W190" s="43">
        <v>1</v>
      </c>
      <c r="X190" s="43">
        <v>2</v>
      </c>
      <c r="Y190" s="43">
        <v>2</v>
      </c>
      <c r="Z190" s="43">
        <v>2</v>
      </c>
      <c r="AA190" s="43">
        <v>2</v>
      </c>
      <c r="AB190" s="43">
        <v>2</v>
      </c>
      <c r="AC190" s="43">
        <v>2</v>
      </c>
      <c r="AD190" s="43">
        <v>1</v>
      </c>
      <c r="AE190" s="43">
        <v>2</v>
      </c>
      <c r="AF190" s="43">
        <v>1</v>
      </c>
      <c r="AG190" s="43">
        <v>1</v>
      </c>
      <c r="AH190" s="43">
        <v>2</v>
      </c>
      <c r="AI190" s="43">
        <v>1</v>
      </c>
      <c r="AJ190" s="43">
        <v>1</v>
      </c>
      <c r="AK190" s="43">
        <v>2</v>
      </c>
      <c r="AL190" s="43">
        <v>1</v>
      </c>
      <c r="AM190" s="43">
        <v>0</v>
      </c>
    </row>
    <row r="191" spans="1:39" x14ac:dyDescent="0.2">
      <c r="A191" s="43" t="s">
        <v>529</v>
      </c>
      <c r="B191" s="43" t="s">
        <v>53</v>
      </c>
      <c r="C191" s="43">
        <v>0</v>
      </c>
      <c r="D191" s="43">
        <v>1</v>
      </c>
      <c r="E191" s="43">
        <v>1</v>
      </c>
      <c r="F191" s="43">
        <v>1</v>
      </c>
      <c r="G191" s="43">
        <v>1</v>
      </c>
      <c r="H191" s="43">
        <v>1</v>
      </c>
      <c r="I191" s="43">
        <v>1</v>
      </c>
      <c r="J191" s="43">
        <v>1</v>
      </c>
      <c r="K191" s="43">
        <v>1</v>
      </c>
      <c r="L191" s="43">
        <v>1</v>
      </c>
      <c r="M191" s="43">
        <v>1</v>
      </c>
      <c r="N191" s="43">
        <v>1</v>
      </c>
      <c r="O191" s="43">
        <v>1</v>
      </c>
      <c r="P191" s="43">
        <v>1</v>
      </c>
      <c r="Q191" s="43">
        <v>1</v>
      </c>
      <c r="R191" s="43">
        <v>1</v>
      </c>
      <c r="S191" s="43">
        <v>1</v>
      </c>
      <c r="T191" s="43">
        <v>1</v>
      </c>
      <c r="U191" s="43">
        <v>1</v>
      </c>
      <c r="V191" s="43">
        <v>1</v>
      </c>
      <c r="W191" s="43">
        <v>2</v>
      </c>
      <c r="X191" s="43">
        <v>2</v>
      </c>
      <c r="Y191" s="43">
        <v>2</v>
      </c>
      <c r="Z191" s="43">
        <v>2</v>
      </c>
      <c r="AA191" s="43">
        <v>2</v>
      </c>
      <c r="AB191" s="43">
        <v>2</v>
      </c>
      <c r="AC191" s="43">
        <v>2</v>
      </c>
      <c r="AD191" s="43">
        <v>2</v>
      </c>
      <c r="AE191" s="43">
        <v>2</v>
      </c>
      <c r="AF191" s="43">
        <v>1</v>
      </c>
      <c r="AG191" s="43">
        <v>1</v>
      </c>
      <c r="AH191" s="43">
        <v>1</v>
      </c>
      <c r="AI191" s="43">
        <v>1</v>
      </c>
      <c r="AJ191" s="43">
        <v>1</v>
      </c>
      <c r="AK191" s="43">
        <v>1</v>
      </c>
      <c r="AL191" s="43">
        <v>1</v>
      </c>
      <c r="AM191" s="43">
        <v>0</v>
      </c>
    </row>
    <row r="192" spans="1:39" x14ac:dyDescent="0.2">
      <c r="A192" s="43" t="s">
        <v>534</v>
      </c>
      <c r="B192" s="43" t="s">
        <v>53</v>
      </c>
      <c r="C192" s="43">
        <v>0</v>
      </c>
      <c r="D192" s="43">
        <v>2</v>
      </c>
      <c r="E192" s="43">
        <v>2</v>
      </c>
      <c r="F192" s="43">
        <v>2</v>
      </c>
      <c r="G192" s="43">
        <v>2</v>
      </c>
      <c r="H192" s="43">
        <v>2</v>
      </c>
      <c r="I192" s="43">
        <v>2</v>
      </c>
      <c r="J192" s="43">
        <v>2</v>
      </c>
      <c r="K192" s="43">
        <v>2</v>
      </c>
      <c r="L192" s="43">
        <v>2</v>
      </c>
      <c r="M192" s="43">
        <v>1</v>
      </c>
      <c r="N192" s="43">
        <v>1</v>
      </c>
      <c r="O192" s="43">
        <v>2</v>
      </c>
      <c r="P192" s="43">
        <v>1</v>
      </c>
      <c r="Q192" s="43">
        <v>1</v>
      </c>
      <c r="R192" s="43">
        <v>1</v>
      </c>
      <c r="S192" s="43">
        <v>1</v>
      </c>
      <c r="T192" s="43">
        <v>2</v>
      </c>
      <c r="U192" s="43">
        <v>2</v>
      </c>
      <c r="V192" s="43">
        <v>1</v>
      </c>
      <c r="W192" s="43">
        <v>2</v>
      </c>
      <c r="X192" s="43">
        <v>1</v>
      </c>
      <c r="Y192" s="43">
        <v>1</v>
      </c>
      <c r="Z192" s="43">
        <v>1</v>
      </c>
      <c r="AA192" s="43">
        <v>2</v>
      </c>
      <c r="AB192" s="43">
        <v>1</v>
      </c>
      <c r="AC192" s="43">
        <v>1</v>
      </c>
      <c r="AD192" s="43">
        <v>1</v>
      </c>
      <c r="AE192" s="43">
        <v>1</v>
      </c>
      <c r="AF192" s="43">
        <v>1</v>
      </c>
      <c r="AG192" s="43">
        <v>2</v>
      </c>
      <c r="AH192" s="43">
        <v>1</v>
      </c>
      <c r="AI192" s="43">
        <v>1</v>
      </c>
      <c r="AJ192" s="43">
        <v>1</v>
      </c>
      <c r="AK192" s="43">
        <v>2</v>
      </c>
      <c r="AL192" s="43">
        <v>1</v>
      </c>
      <c r="AM192" s="43">
        <v>0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EEE91F-8CDF-4F2C-85D3-58EC881B6941}">
  <ds:schemaRefs>
    <ds:schemaRef ds:uri="http://schemas.microsoft.com/office/infopath/2007/PartnerControls"/>
    <ds:schemaRef ds:uri="http://www.w3.org/XML/1998/namespace"/>
    <ds:schemaRef ds:uri="3e02667f-0271-471b-bd6e-11a2e16def1d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b19ad29f-88fa-4d62-ac16-34b992563bf9"/>
    <ds:schemaRef ds:uri="e781ea9d-1795-4792-8d8d-c86ae526af93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001F0D6-2591-4A68-815D-C98503A36C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250593-F983-4EAC-AA7D-622FD9705F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ad29f-88fa-4d62-ac16-34b992563bf9"/>
    <ds:schemaRef ds:uri="e781ea9d-1795-4792-8d8d-c86ae526af93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2020 DCS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2019-06-14T15:02:34Z</dcterms:created>
  <dcterms:modified xsi:type="dcterms:W3CDTF">2026-10-21T08:45:38Z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MSIP_Label_f1bf45b6-5649-4236-82a3-f45024cd282e_Enabled">
    <vt:lpwstr>true</vt:lpwstr>
  </property>
  <property fmtid="{D5CDD505-2E9C-101B-9397-08002B2CF9AE}" pid="7" name="MSIP_Label_f1bf45b6-5649-4236-82a3-f45024cd282e_SetDate">
    <vt:lpwstr>2025-10-18T23:10:31Z</vt:lpwstr>
  </property>
  <property fmtid="{D5CDD505-2E9C-101B-9397-08002B2CF9AE}" pid="8" name="MSIP_Label_f1bf45b6-5649-4236-82a3-f45024cd282e_Method">
    <vt:lpwstr>Standard</vt:lpwstr>
  </property>
  <property fmtid="{D5CDD505-2E9C-101B-9397-08002B2CF9AE}" pid="9" name="MSIP_Label_f1bf45b6-5649-4236-82a3-f45024cd282e_Name">
    <vt:lpwstr>Official Use Only</vt:lpwstr>
  </property>
  <property fmtid="{D5CDD505-2E9C-101B-9397-08002B2CF9AE}" pid="10" name="MSIP_Label_f1bf45b6-5649-4236-82a3-f45024cd282e_SiteId">
    <vt:lpwstr>31a2fec0-266b-4c67-b56e-2796d8f59c36</vt:lpwstr>
  </property>
  <property fmtid="{D5CDD505-2E9C-101B-9397-08002B2CF9AE}" pid="11" name="MSIP_Label_f1bf45b6-5649-4236-82a3-f45024cd282e_ActionId">
    <vt:lpwstr>446154c5-57db-4588-a62f-c6679d7ddfc7</vt:lpwstr>
  </property>
  <property fmtid="{D5CDD505-2E9C-101B-9397-08002B2CF9AE}" pid="12" name="MSIP_Label_f1bf45b6-5649-4236-82a3-f45024cd282e_ContentBits">
    <vt:lpwstr>2</vt:lpwstr>
  </property>
  <property fmtid="{D5CDD505-2E9C-101B-9397-08002B2CF9AE}" pid="13" name="MSIP_Label_f1bf45b6-5649-4236-82a3-f45024cd282e_Tag">
    <vt:lpwstr>10, 3, 0, 1</vt:lpwstr>
  </property>
</Properties>
</file>