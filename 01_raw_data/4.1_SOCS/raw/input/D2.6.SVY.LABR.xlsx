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112" documentId="13_ncr:1_{CCE5EEBB-4D58-4017-8091-E111410662AE}" xr6:coauthVersionLast="47" xr6:coauthVersionMax="47" xr10:uidLastSave="{D519CE79-D075-6B4A-8647-9EC626E78545}"/>
  <bookViews>
    <workbookView xWindow="0" yWindow="660" windowWidth="34560" windowHeight="21680" firstSheet="1" activeTab="1" xr2:uid="{B1D4A2B0-B996-4285-8899-E61063B05042}"/>
  </bookViews>
  <sheets>
    <sheet name="2020 DCS" sheetId="13" r:id="rId1"/>
    <sheet name="Data" sheetId="11" r:id="rId2"/>
  </sheets>
  <definedNames>
    <definedName name="_xlnm._FilterDatabase" localSheetId="0" hidden="1">'2020 DCS'!$A$2:$AB$2</definedName>
    <definedName name="_xlnm._FilterDatabase" localSheetId="1" hidden="1">Data!$C$3:$AI$3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11" l="1"/>
  <c r="AI5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4" i="11"/>
  <c r="A77" i="11" l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D2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T5" authorId="0" shapeId="0" xr:uid="{9064EC36-AD4D-408B-A72E-02D5A69A32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https://www.ine.gov.ao/censos-e-inqueritos/iea</t>
        </r>
      </text>
    </comment>
    <comment ref="AB5" authorId="0" shapeId="0" xr:uid="{8FD9BEEC-5D9C-4F9F-8005-CB7DC9443F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https://www.ine.gov.ao/publicacoes/31-populacao-e-sociedade/806-folha-de-informacao-rapida-iea-iii-trimestre-2019?highlight=WyJ0cmltZXN0cmFsIiwiYW8iLCJlbXByZWdvIiwidHJpbWVzdHJhbCBhbyIsInRyaW1lc3RyYWwgYW8gZW1wcmVnbyIsImFvIGVtcHJlZ28iXQ==</t>
        </r>
      </text>
    </comment>
    <comment ref="Q6" authorId="0" shapeId="0" xr:uid="{30FC54FD-AE6E-4B2E-9FE0-2DEE78EBCF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http://www.instat.gov.al/en/figures/micro-data/</t>
        </r>
      </text>
    </comment>
    <comment ref="Y7" authorId="1" shapeId="0" xr:uid="{4C9B9467-7601-45C6-AEEB-A82B2181F7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2016, Segundo Trimestre
</t>
        </r>
      </text>
    </comment>
    <comment ref="AA12" authorId="0" shapeId="0" xr:uid="{2C72FD70-A968-423A-A913-2F36659672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https://insae.bj/statistiques/enquetes-et-recensements#statuts</t>
        </r>
      </text>
    </comment>
    <comment ref="W15" authorId="0" shapeId="0" xr:uid="{D5A90C0E-E055-4F19-B36F-D5DA3995FA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X15" authorId="0" shapeId="0" xr:uid="{FE40123F-0ECB-4E7E-BFAB-5E6E0FCE4A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Y15" authorId="0" shapeId="0" xr:uid="{AD2F00AF-2A01-4A49-B17D-45E5A67BD9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Z15" authorId="0" shapeId="0" xr:uid="{54C52BAA-C5CB-48CA-82DC-8F5EE9CE0C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AA15" authorId="0" shapeId="0" xr:uid="{4D11E30F-CFEE-4E08-8634-6CF8F5CD2C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AB15" authorId="0" shapeId="0" xr:uid="{F0B96550-0B14-45CD-A2ED-5D7B9909CF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https://www.nsi.bg/en/content/6473/quarterly-data</t>
        </r>
      </text>
    </comment>
    <comment ref="U18" authorId="0" shapeId="0" xr:uid="{A5589E65-BC2A-4AB4-9E84-3139AC566D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http://sib.org.bz/publications/labour-force-survey-reports/</t>
        </r>
      </text>
    </comment>
    <comment ref="AA18" authorId="0" shapeId="0" xr:uid="{7AA9A6C3-92EC-4B6F-8DA5-5BE1820EAA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http://sib.org.bz/publications/labour-force-survey-reports/</t>
        </r>
      </text>
    </comment>
    <comment ref="AB18" authorId="0" shapeId="0" xr:uid="{570E7AD4-6FB7-4ED5-A118-A0586A156A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http://sib.org.bz/publications/labour-force-survey-reports/</t>
        </r>
      </text>
    </comment>
    <comment ref="AA21" authorId="0" shapeId="0" xr:uid="{DFFFB3F1-4434-438E-92B4-93BA057597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https://www.nsb.gov.bt/publications/labour-force-survey-report/</t>
        </r>
      </text>
    </comment>
    <comment ref="AB21" authorId="0" shapeId="0" xr:uid="{694415CF-D7BA-432D-A329-85E24A1E4B7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https://www.nsb.gov.bt/publications/labour-force-survey-report/</t>
        </r>
      </text>
    </comment>
    <comment ref="T32" authorId="0" shapeId="0" xr:uid="{3FFB4526-4A92-4CDF-AD18-1814FEDB9C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U32" authorId="0" shapeId="0" xr:uid="{5E2D4FA5-17FE-4722-9F43-EC4B8CC96F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V32" authorId="0" shapeId="0" xr:uid="{9740530A-0BAB-4E6D-BA73-D756C070B2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W32" authorId="0" shapeId="0" xr:uid="{9A276327-0AE8-41CF-A3E1-9E4975E1E3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Y32" authorId="0" shapeId="0" xr:uid="{B820E62C-4DB9-45E0-A4E3-9BCD7D3387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Z32" authorId="0" shapeId="0" xr:uid="{5FDC0B49-B6CB-4AA6-AB66-AB66247E92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AA32" authorId="0" shapeId="0" xr:uid="{489738F9-B104-40F2-A362-BBE208C5C4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AB32" authorId="0" shapeId="0" xr:uid="{E54271EF-72A2-4F54-A1B2-C97520BEE7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http://ine.cv/mercado-de-trabalho/</t>
        </r>
      </text>
    </comment>
    <comment ref="AC33" authorId="0" shapeId="0" xr:uid="{CB679AAB-0D09-47E0-B59F-ED8436E03D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http://sistemas.inec.cr/pad5/index.php/catalog/271#metadata-coverage</t>
        </r>
      </text>
    </comment>
    <comment ref="K38" authorId="0" shapeId="0" xr:uid="{9BAF27C2-990C-47A2-8A1C-C762BFED06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https://www.ecuadorencifras.gob.ec/empleo-septiembre-2020/</t>
        </r>
      </text>
    </comment>
    <comment ref="Y38" authorId="0" shapeId="0" xr:uid="{D6810FCE-19F8-41F2-AE2A-EE47D3D770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https://www.ecuadorencifras.gob.ec/empleo-septiembre-2020/</t>
        </r>
      </text>
    </comment>
    <comment ref="AA52" authorId="0" shapeId="0" xr:uid="{BEEC7019-2479-4361-AFD3-ECF80B4262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https://www.ine.gob.gt/ine/estadisticas/bases-de-datos/encuesta-nacional-de-empleo-e-ingresos/
https://www.ine.gob.gt/sistema/uploads/2019/07/05/publicacion_ENEI_2_2018.pdf</t>
        </r>
      </text>
    </comment>
    <comment ref="AB52" authorId="0" shapeId="0" xr:uid="{56556C08-6390-4DC3-BBAD-94069164D8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https://www.ine.gob.gt/sistema/uploads/2020/01/15/20200115173246FCRG98JyTWVAtsV4Lmtyn43QFgTufmZg.pdf</t>
        </r>
      </text>
    </comment>
    <comment ref="AB53" authorId="0" shapeId="0" xr:uid="{EA680601-DD67-4080-A127-CD37F22C58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https://statisticsguyana.gov.gy/wp-content/uploads/2020/07/GLFS_Bulletin_2019.pdf</t>
        </r>
      </text>
    </comment>
    <comment ref="W55" authorId="0" shapeId="0" xr:uid="{CBE0235E-A687-4829-892B-1ABE6E3115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X55" authorId="0" shapeId="0" xr:uid="{FF439351-1A2F-467A-B55E-BBC43B2598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Y55" authorId="0" shapeId="0" xr:uid="{228BCA54-2ADB-4F7E-B56F-81D867770A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Z55" authorId="0" shapeId="0" xr:uid="{93250DFA-6E35-432B-8A87-00744E1755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AA55" authorId="0" shapeId="0" xr:uid="{BEBCB2EE-EA98-45B0-B32B-22C19644E1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https://www.dzs.hr/default_e.htm
Publications by Statistical Subject Matter Areas</t>
        </r>
      </text>
    </comment>
    <comment ref="S59" authorId="0" shapeId="0" xr:uid="{BACF30A6-5D76-4588-B495-D2CBF7FB1A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T59" authorId="0" shapeId="0" xr:uid="{4279CFD4-50C7-43AC-9F7E-3EE3FB50E6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U59" authorId="0" shapeId="0" xr:uid="{9DEBC0EC-C660-4F3D-9C7D-6B21E778C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V59" authorId="0" shapeId="0" xr:uid="{130B5419-D120-468D-85B4-65DDA38E01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W59" authorId="0" shapeId="0" xr:uid="{49D7DA33-69A7-4274-A8DA-5686696B28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X59" authorId="0" shapeId="0" xr:uid="{B7F29918-91E5-4895-A7B2-DB72BBC72B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https://www.amar.org.ir/english/Statistics-by-Topic/Labor-force</t>
        </r>
      </text>
    </comment>
    <comment ref="V61" authorId="0" shapeId="0" xr:uid="{07CE22FE-7F67-47C7-8936-4BE6A707E9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W61" authorId="0" shapeId="0" xr:uid="{05AB47B8-DB6B-498D-99A1-306DC379D4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X61" authorId="0" shapeId="0" xr:uid="{DA741662-C717-4EB8-A307-9572551BA2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Y61" authorId="0" shapeId="0" xr:uid="{7E814456-ACAD-4C66-AE10-D53EF88CFE7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Z61" authorId="0" shapeId="0" xr:uid="{DEF5B13C-FB46-4B79-8E91-0418DC6226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AA61" authorId="0" shapeId="0" xr:uid="{40C06F4B-5766-4419-AB1B-FE538A44B4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AB61" authorId="0" shapeId="0" xr:uid="{9549B664-6BA4-42F1-A62B-13AFF4469A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AC61" authorId="0" shapeId="0" xr:uid="{3238FCDF-5B2A-44FE-81DE-8BB4444B9C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https://statinja.gov.jm/PressReleases.aspx?field1=lfs</t>
        </r>
      </text>
    </comment>
    <comment ref="X62" authorId="0" shapeId="0" xr:uid="{E482C53F-75A7-449C-832F-1FA3A087B1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http://dosweb.dos.gov.jo/product-category/employment/</t>
        </r>
      </text>
    </comment>
    <comment ref="Y62" authorId="0" shapeId="0" xr:uid="{FF06D675-C67A-458C-9D9F-C7DC5574E2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http://dosweb.dos.gov.jo/product-category/employment/</t>
        </r>
      </text>
    </comment>
    <comment ref="Z62" authorId="0" shapeId="0" xr:uid="{97F6BD5E-2315-4047-BD97-CBB6225CD3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http://dosweb.dos.gov.jo/product-category/employment/</t>
        </r>
      </text>
    </comment>
    <comment ref="Z69" authorId="0" shapeId="0" xr:uid="{DFEB55C9-0B92-493E-89B1-D01DAE876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https://laosis.lsb.gov.la/board/BoardList.do?bbs_bbsid=B404</t>
        </r>
      </text>
    </comment>
    <comment ref="AB74" authorId="0" shapeId="0" xr:uid="{77454988-E608-4E3F-993E-0514984F2C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http://www.statistics.gov.lk/LabourForce/StaticalInformation/AnnualReports</t>
        </r>
      </text>
    </comment>
    <comment ref="O76" authorId="0" shapeId="0" xr:uid="{7BE28977-2BE3-4428-BFDF-2405D26DC71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https://www.hcp.ma/downloads/Activite-emploi-et-chomage-rapport-de-synthese-annuel_t13037.html</t>
        </r>
      </text>
    </comment>
    <comment ref="P76" authorId="0" shapeId="0" xr:uid="{8C724A5B-92A0-4012-8906-FBA95514A4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Q76" authorId="0" shapeId="0" xr:uid="{D24FD2F2-5AD7-47B9-A21E-792DF6ACA4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R76" authorId="0" shapeId="0" xr:uid="{A8A67D2B-69F9-41E8-AAB8-EA2ABCD075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S76" authorId="0" shapeId="0" xr:uid="{11FF14AB-ED44-4D97-8B34-AE0668370C1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T76" authorId="0" shapeId="0" xr:uid="{DF9AC071-CCA9-49EE-8743-5C566F5ED1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U76" authorId="0" shapeId="0" xr:uid="{183293A3-6CA4-4AB8-B9E1-612F661403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V76" authorId="0" shapeId="0" xr:uid="{F92BCE8D-47A4-4201-BB15-7B70E7AC03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W76" authorId="0" shapeId="0" xr:uid="{4297C26C-65E1-4FB8-ACEC-AE239399DE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X76" authorId="0" shapeId="0" xr:uid="{4D2D83D3-D416-4CDB-A5C7-94D4CA280B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Y76" authorId="0" shapeId="0" xr:uid="{7F3120E8-22B3-4E6C-A9E8-45ACE5DA71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Z76" authorId="0" shapeId="0" xr:uid="{DD201305-D21A-44CD-BD5B-46929E1719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AA76" authorId="0" shapeId="0" xr:uid="{AA4C77FB-FCA3-496A-A69E-02AB936AE0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AB76" authorId="0" shapeId="0" xr:uid="{A3D2D66C-27A8-4834-81A3-C3E916F357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https://www.hcp.ma/downloads/Activite-emploi-et-chomage-premiers-resultats-annuel_t13036.html
https://www.hcp.ma/Enquete-nationale-sur-l-emploi_a89.html</t>
        </r>
      </text>
    </comment>
    <comment ref="S85" authorId="0" shapeId="0" xr:uid="{271165BE-7D3D-4584-8324-B7D908BDEA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https://www.monstat.org/eng/page.php?id=527&amp;pageid=22</t>
        </r>
      </text>
    </comment>
    <comment ref="M87" authorId="0" shapeId="0" xr:uid="{2692AA07-D1AE-45B3-AE2C-0E6C5044D8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http://www.ine.gov.mz/operacoes-estatisticas/inqueritos/inquerito-integrado-a-forca-de-trabalho</t>
        </r>
      </text>
    </comment>
    <comment ref="U88" authorId="0" shapeId="0" xr:uid="{D9FD9364-1015-4566-93F5-6B953641C3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http://www.ons.mr/index.php/publications/operations-statistiques/15-enquete-emploi-2012</t>
        </r>
      </text>
    </comment>
    <comment ref="H89" authorId="0" shapeId="0" xr:uid="{5EE274FB-1A4A-4A54-9A47-791A8828DD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http://statsmauritius.govmu.org/English/CensusandSurveys/Pages/Continous-Multipurpose-survey-Lists.aspx</t>
        </r>
      </text>
    </comment>
    <comment ref="V91" authorId="0" shapeId="0" xr:uid="{D19E9A68-13FF-492C-BEC3-584C6A679B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https://www.dosm.gov.my/v1/index.php?r=column/cone&amp;menu_id=aEpYQndNRzcwRzJQZlI0dXk5NEIzdz09</t>
        </r>
      </text>
    </comment>
    <comment ref="AA92" authorId="0" shapeId="0" xr:uid="{B8B2E885-9BCF-4A56-856A-89D01A9005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https://d3rp5jatom3eyn.cloudfront.net/cms/assets/documents/Labour_Force_Survey_final_-_2018.pdf</t>
        </r>
      </text>
    </comment>
    <comment ref="R95" authorId="0" shapeId="0" xr:uid="{F0AD558B-BA4A-4236-9735-31FFFC53E6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Z95" authorId="0" shapeId="0" xr:uid="{28004FAA-EA91-4726-A476-17D849DB9E1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AA95" authorId="0" shapeId="0" xr:uid="{38588439-3257-41E8-A44B-64B6132001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AB95" authorId="0" shapeId="0" xr:uid="{DAB2884E-D8FC-41B8-9F44-4E13B7B5C7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https://www.inide.gob.ni/Home/ech
https://www.inide.gob.ni/ECH/Publicacion%20ECH%20IV%20trimestre%202017.pdf</t>
        </r>
      </text>
    </comment>
    <comment ref="Z96" authorId="0" shapeId="0" xr:uid="{E03737E4-007E-41B1-AC70-7AC9D7563C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https://nada.cbs.gov.np/index.php/catalog/88</t>
        </r>
      </text>
    </comment>
    <comment ref="Z98" authorId="0" shapeId="0" xr:uid="{E51138A0-6993-4211-B267-19EAB14AB4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http://www.pbs.gov.pk/labour-force-publications</t>
        </r>
      </text>
    </comment>
    <comment ref="AB99" authorId="0" shapeId="0" xr:uid="{164CE994-7513-4727-B7B8-84244F4164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https://www.inec.gob.pa/publicaciones/Default3.aspx?ID_PUBLICACION=972&amp;ID_CATEGORIA=5&amp;ID_SUBCATEGORIA=38</t>
        </r>
      </text>
    </comment>
    <comment ref="S100" authorId="0" shapeId="0" xr:uid="{C5B20F8A-F038-40AE-A832-4427E68D7C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http://webinei.inei.gob.pe/anda_inei/index.php/catalog/553</t>
        </r>
      </text>
    </comment>
    <comment ref="T100" authorId="0" shapeId="0" xr:uid="{DD284E5A-1DD7-4372-B3B6-6B762616D1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http://webinei.inei.gob.pe/anda_inei/index.php/catalog/523</t>
        </r>
      </text>
    </comment>
    <comment ref="U100" authorId="0" shapeId="0" xr:uid="{19E7F992-3D9C-45ED-841B-2DC950538A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http://webinei.inei.gob.pe/anda_inei/index.php/catalog/513</t>
        </r>
      </text>
    </comment>
    <comment ref="X100" authorId="0" shapeId="0" xr:uid="{E540C1D8-902A-4F5D-BCA5-13D67065D5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http://webinei.inei.gob.pe/anda_inei/index.php/catalog/607</t>
        </r>
      </text>
    </comment>
    <comment ref="AB100" authorId="0" shapeId="0" xr:uid="{D62369E6-20D0-444A-8EC6-5FE1754E44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#_r=&amp;collection=&amp;country=&amp;dtype=&amp;from=2006&amp;page=1&amp;ps=%3Cfont+style%3D%22vertical-align%3A+inherit%3B%22%3E%3Cfont+style%3D%22vertical-align%3A+inherit%3B%22%3E100%3C/font%3E%3C/font%3E&amp;sk=&amp;sort_by=proddate&amp;sort_order=desc&amp;to=2019&amp;topic=&amp;view=s&amp;vk=</t>
        </r>
      </text>
    </comment>
    <comment ref="Z105" authorId="0" shapeId="0" xr:uid="{35B5AAF2-D43B-4509-B050-5AE2A60DC7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https://www.dgeec.gov.py/datos/encuestas/ece/Poblacion/index.php</t>
        </r>
      </text>
    </comment>
    <comment ref="AB107" authorId="0" shapeId="0" xr:uid="{A966FEEE-9755-48DD-9A58-C9BCE5AFBC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https://insse.ro/cms/sites/default/files/field/publicatii/labour_force_in_romania_2019_0.pdf</t>
        </r>
      </text>
    </comment>
    <comment ref="R108" authorId="0" shapeId="0" xr:uid="{B47DEEE1-F4CE-4371-8E76-B9BC8CA72B1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X108" authorId="0" shapeId="0" xr:uid="{FD80F377-28C0-40A6-8097-636BE5816EF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AA108" authorId="0" shapeId="0" xr:uid="{ABF85633-76D4-4225-8471-350F6A2ECE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AB108" authorId="0" shapeId="0" xr:uid="{CFC96813-FE39-4963-B8C6-62D0CA344A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</t>
        </r>
      </text>
    </comment>
    <comment ref="AC108" authorId="0" shapeId="0" xr:uid="{8521556A-6B36-4B68-9377-F4A3339C0F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https://www.gks.ru/folder/11110/document/13265
https://rosstat.gov.ru/folder/11110/document/13265</t>
        </r>
      </text>
    </comment>
    <comment ref="Y109" authorId="0" shapeId="0" xr:uid="{2AF0837C-497B-4FDA-949B-F5B843FA81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http://statistics.gov.rw/datasource/labour-force-survey-0</t>
        </r>
      </text>
    </comment>
    <comment ref="AC109" authorId="0" shapeId="0" xr:uid="{0271FDFE-0090-4C78-97A7-354B9BD2AD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https://www.statistics.gov.rw/datasource/labour-force-survey-0</t>
        </r>
      </text>
    </comment>
    <comment ref="AA111" authorId="0" shapeId="0" xr:uid="{168116EC-2F82-489E-8736-DE73751639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#_r=&amp;collection=&amp;country=&amp;dtype=&amp;from=2006&amp;page=2&amp;ps=%3Cfont+style%3D%22vertical-align%3A+inherit%3B%22%3E%3Cfont+style%3D%22vertical-align%3A+inherit%3B%22%3E100%3C/font%3E%3C/font%3E&amp;sid=&amp;sk=&amp;sort_by=title&amp;sort_order=&amp;to=2019&amp;topic=&amp;view=s&amp;vk=</t>
        </r>
      </text>
    </comment>
    <comment ref="AB111" authorId="0" shapeId="0" xr:uid="{0488B0A3-B61D-4A35-BB01-361067B4DC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#_r=&amp;collection=TRV&amp;country=&amp;dtype=&amp;from=2006&amp;page=&amp;ps=%3Cfont+style%3D%22vertical-align%3A+inherit%3B%22%3E%3Cfont+style%3D%22vertical-align%3A+inherit%3B%22%3E100%3C/font%3E%3C/font%3E&amp;sid=&amp;sk=&amp;sort_by=title&amp;sort_order=&amp;to=2019&amp;topic=&amp;view=s&amp;vk=</t>
        </r>
      </text>
    </comment>
    <comment ref="W119" authorId="0" shapeId="0" xr:uid="{A212AF7B-C65F-48F5-9680-04A0CCCB46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not national coverage</t>
        </r>
      </text>
    </comment>
    <comment ref="U122" authorId="0" shapeId="0" xr:uid="{50072DB0-5C5B-4905-BACA-3A2AEAEC46C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http://cbssyr.sy/index-EN.htm</t>
        </r>
      </text>
    </comment>
    <comment ref="AB125" authorId="0" shapeId="0" xr:uid="{09FEEF33-0367-44CE-8103-3D6F0AFFBE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http://www.nso.go.th/sites/2014en/Pages/Statistical%20Themes/Population-Society/Labour/Labour-Force.aspx</t>
        </r>
      </text>
    </comment>
    <comment ref="L129" authorId="0" shapeId="0" xr:uid="{0DE5BC24-8215-4275-BC12-2FF16EE8A3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https://tongastats.gov.to/survey/labour-force-survey/</t>
        </r>
      </text>
    </comment>
    <comment ref="AA129" authorId="0" shapeId="0" xr:uid="{1E3F745F-B7FB-47BD-8971-2804AB5663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https://tongastats.gov.to/survey/labour-force-survey/</t>
        </r>
      </text>
    </comment>
    <comment ref="AA132" authorId="0" shapeId="0" xr:uid="{1AF7866A-A2F0-48FB-BD5B-89939F2278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https://data.tuik.gov.tr/Bulten/Index?p=Labour-Force-Statistics-2018-30677</t>
        </r>
      </text>
    </comment>
    <comment ref="AB132" authorId="0" shapeId="0" xr:uid="{B64CDC99-9EBE-4CF5-A18E-18E1A79C49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https://data.tuik.gov.tr/Bulten/Index?p=Child-Labour-Force-Survey-2019-33807</t>
        </r>
      </text>
    </comment>
    <comment ref="AD132" authorId="0" shapeId="0" xr:uid="{6DA02578-FF99-4559-9AE9-35F7C30848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https://data.tuik.gov.tr/Bulten/Index?p=Labour-Force-Statistics-2018-30677</t>
        </r>
      </text>
    </comment>
    <comment ref="AE132" authorId="0" shapeId="0" xr:uid="{24764CB7-0B22-4C4A-B96D-A9960E6A03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https://data.tuik.gov.tr/Bulten/Index?p=Child-Labour-Force-Survey-2019-33807</t>
        </r>
      </text>
    </comment>
    <comment ref="Y135" authorId="0" shapeId="0" xr:uid="{F03AC2E3-EC53-4D9A-8062-DA7C8189D0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https://www.ubos.org/wp-content/uploads/publications/10_2018Report_national_labour_force_survey_2016_17.pdf
https://www.ubos.org/publications/statistical/22/</t>
        </r>
      </text>
    </comment>
    <comment ref="U136" authorId="0" shapeId="0" xr:uid="{4948C19C-6E41-4367-BAA2-4BCC39E379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Z136" authorId="0" shapeId="0" xr:uid="{E89EF4CA-841D-4E7A-8C87-E2C01DA381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AA136" authorId="0" shapeId="0" xr:uid="{1CFC4B7F-1EBA-4377-9F1F-248CECE1D21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http://www.ukrstat.gov.ua/druk/publicat/kat_e/2019/zb/zb_lfs_2018.pdf
</t>
        </r>
      </text>
    </comment>
    <comment ref="Z137" authorId="0" shapeId="0" xr:uid="{66E4C8D3-1806-41F6-AA90-A84CA3A35E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https://microdatalib.worldbank.org/index.php/catalog#_r=&amp;collection=&amp;country=231&amp;dtype=&amp;from=1890&amp;page=1&amp;ps=&amp;sid=&amp;sk=&amp;sort_by=nation&amp;sort_order=&amp;to=2019&amp;topic=&amp;view=s&amp;vk=</t>
        </r>
      </text>
    </comment>
    <comment ref="AA138" authorId="0" shapeId="0" xr:uid="{C14766EE-548B-4848-9656-4323BD8B0B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https://stat.uz/en/default/surveyss/3926-sample-household-survey</t>
        </r>
      </text>
    </comment>
    <comment ref="X139" authorId="0" shapeId="0" xr:uid="{1CD6EAC6-973D-4E75-9ED8-925FA1AB35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http://stats.gov.vc/stats/wp-content/uploads/2018/09/Overview-of-the-labour-Market-of-SVG.pdf</t>
        </r>
      </text>
    </comment>
    <comment ref="Z143" authorId="0" shapeId="0" xr:uid="{414D123A-D56D-4B6D-B743-1402AA70D1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https://www.sbs.gov.ws/digi/2017-Social%20Statistics-Samoa%20LFS%20Report%202017.pdf</t>
        </r>
      </text>
    </comment>
    <comment ref="K144" authorId="0" shapeId="0" xr:uid="{467C462A-B6A8-40F6-9B37-AB0805803C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M144" authorId="0" shapeId="0" xr:uid="{F48CAE1E-46F4-442A-B61B-41DEFC4098A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N144" authorId="0" shapeId="0" xr:uid="{81C3881D-804B-4437-9E36-C254CB92B6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O144" authorId="0" shapeId="0" xr:uid="{F84A3D50-9E50-4DA2-9FCF-A388E313BFF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P144" authorId="0" shapeId="0" xr:uid="{910C6A89-641F-473E-842E-B4BD7F7705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Q144" authorId="0" shapeId="0" xr:uid="{1795BEB4-E1F0-44F9-992B-CE05907D14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R144" authorId="0" shapeId="0" xr:uid="{B4E05EE1-ADB4-4B4A-BBCC-CC2169B9B7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X144" authorId="0" shapeId="0" xr:uid="{53D3F233-2264-4359-8B2D-3192DED8A6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Y144" authorId="0" shapeId="0" xr:uid="{CE74585E-5003-44E9-AE8B-F9A04A6379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AA144" authorId="0" shapeId="0" xr:uid="{016907D1-22B8-44A5-82D6-B8FD1B077C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https://ask.rks-gov.net/en/kosovo-agency-of-statistics/social/labour-market</t>
        </r>
      </text>
    </comment>
    <comment ref="AA147" authorId="0" shapeId="0" xr:uid="{1FEB44A8-671C-4069-96E8-3C7186DCD3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https://www.zamstats.gov.zm/index.php/publications/category/7-labour</t>
        </r>
      </text>
    </comment>
    <comment ref="W148" authorId="0" shapeId="0" xr:uid="{191F2CB8-3461-4BEF-8AEE-7430D17BD7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http://www.zimstat.co.zw/employment-statistics</t>
        </r>
      </text>
    </comment>
    <comment ref="AB148" authorId="0" shapeId="0" xr:uid="{6BFFCFCA-837E-440D-8676-5B586097E7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http://www.zimstat.co.zw/sites/default/files/img/publications/2019%20LFCLS%20Report.pdf</t>
        </r>
      </text>
    </comment>
    <comment ref="M149" authorId="0" shapeId="0" xr:uid="{9918EBCF-5DDD-4D5B-BD69-01BF307158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http://lmra.bh/portal/ar/page/show/204</t>
        </r>
      </text>
    </comment>
  </commentList>
</comments>
</file>

<file path=xl/sharedStrings.xml><?xml version="1.0" encoding="utf-8"?>
<sst xmlns="http://schemas.openxmlformats.org/spreadsheetml/2006/main" count="898" uniqueCount="505">
  <si>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</si>
  <si>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</si>
  <si>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</si>
  <si>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</si>
  <si>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</si>
  <si>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</si>
  <si>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</si>
  <si>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</si>
  <si>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</si>
  <si>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</si>
  <si>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</si>
  <si>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</si>
  <si>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</si>
  <si>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</si>
  <si>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</si>
  <si>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</si>
  <si>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</si>
  <si>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</si>
  <si>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</si>
  <si>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</si>
  <si>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</si>
  <si>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</si>
  <si>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</si>
  <si>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</si>
  <si>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</si>
  <si>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</si>
  <si>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</si>
  <si>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</si>
  <si>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</si>
  <si>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</si>
  <si>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SC.SVY.LABR.ZS</t>
  </si>
  <si>
    <t>AGO</t>
  </si>
  <si>
    <t>ALB</t>
  </si>
  <si>
    <t>ARG</t>
  </si>
  <si>
    <t>ARM</t>
  </si>
  <si>
    <t>ATG</t>
  </si>
  <si>
    <t>AZE</t>
  </si>
  <si>
    <t>BDI</t>
  </si>
  <si>
    <t>BEN</t>
  </si>
  <si>
    <t>BFA</t>
  </si>
  <si>
    <t>BGD</t>
  </si>
  <si>
    <t>BGR</t>
  </si>
  <si>
    <t>BIH</t>
  </si>
  <si>
    <t>BLR</t>
  </si>
  <si>
    <t>BLZ</t>
  </si>
  <si>
    <t>BOL</t>
  </si>
  <si>
    <t>BRA</t>
  </si>
  <si>
    <t>BTN</t>
  </si>
  <si>
    <t>BWA</t>
  </si>
  <si>
    <t>CAF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</si>
  <si>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</si>
  <si>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</si>
  <si>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</si>
  <si>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</si>
  <si>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</si>
  <si>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</si>
  <si>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</si>
  <si>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</si>
  <si>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</si>
  <si>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</si>
  <si>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DJI</t>
  </si>
  <si>
    <t>DMA</t>
  </si>
  <si>
    <t>DOM</t>
  </si>
  <si>
    <t>DZA</t>
  </si>
  <si>
    <t>ECU</t>
  </si>
  <si>
    <t>EGY</t>
  </si>
  <si>
    <t>ERI</t>
  </si>
  <si>
    <t>ETH</t>
  </si>
  <si>
    <t>FJI</t>
  </si>
  <si>
    <t>FSM</t>
  </si>
  <si>
    <t>GAB</t>
  </si>
  <si>
    <t>GEO</t>
  </si>
  <si>
    <t>GHA</t>
  </si>
  <si>
    <t>GIN</t>
  </si>
  <si>
    <t>GMB</t>
  </si>
  <si>
    <t>GNB</t>
  </si>
  <si>
    <t>GNQ</t>
  </si>
  <si>
    <t>GRD</t>
  </si>
  <si>
    <t>GTM</t>
  </si>
  <si>
    <t>GUY</t>
  </si>
  <si>
    <t>HND</t>
  </si>
  <si>
    <t>HRV</t>
  </si>
  <si>
    <t>HTI</t>
  </si>
  <si>
    <t>IDN</t>
  </si>
  <si>
    <t>IND</t>
  </si>
  <si>
    <t>IRN</t>
  </si>
  <si>
    <t>IRQ</t>
  </si>
  <si>
    <t>JAM</t>
  </si>
  <si>
    <t>JOR</t>
  </si>
  <si>
    <t>KAZ</t>
  </si>
  <si>
    <t>KEN</t>
  </si>
  <si>
    <t>KGZ</t>
  </si>
  <si>
    <t>KHM</t>
  </si>
  <si>
    <t>KIR</t>
  </si>
  <si>
    <t>KNA</t>
  </si>
  <si>
    <t>LAO</t>
  </si>
  <si>
    <t>LBN</t>
  </si>
  <si>
    <t>LBR</t>
  </si>
  <si>
    <t>LBY</t>
  </si>
  <si>
    <t>LCA</t>
  </si>
  <si>
    <t>LKA</t>
  </si>
  <si>
    <t>LSO</t>
  </si>
  <si>
    <t>MAR</t>
  </si>
  <si>
    <t>MDA</t>
  </si>
  <si>
    <t>MDG</t>
  </si>
  <si>
    <t>MDV</t>
  </si>
  <si>
    <t>MEX</t>
  </si>
  <si>
    <t>MHL</t>
  </si>
  <si>
    <t>MKD</t>
  </si>
  <si>
    <t>MLI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</si>
  <si>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</si>
  <si>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</si>
  <si>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</si>
  <si>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</si>
  <si>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</si>
  <si>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</si>
  <si>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</si>
  <si>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</si>
  <si>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</si>
  <si>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</si>
  <si>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</si>
  <si>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</si>
  <si>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NPL</t>
  </si>
  <si>
    <t>NRU</t>
  </si>
  <si>
    <t>PAK</t>
  </si>
  <si>
    <t>PAN</t>
  </si>
  <si>
    <t>PER</t>
  </si>
  <si>
    <t>PHL</t>
  </si>
  <si>
    <t>PLW</t>
  </si>
  <si>
    <t>PNG</t>
  </si>
  <si>
    <t>POL</t>
  </si>
  <si>
    <t>PRY</t>
  </si>
  <si>
    <t>PSE</t>
  </si>
  <si>
    <t>ROU</t>
  </si>
  <si>
    <t>RUS</t>
  </si>
  <si>
    <t>RWA</t>
  </si>
  <si>
    <t>SDN</t>
  </si>
  <si>
    <t>SEN</t>
  </si>
  <si>
    <t>SLB</t>
  </si>
  <si>
    <t>SLE</t>
  </si>
  <si>
    <t>SLV</t>
  </si>
  <si>
    <t>SOM</t>
  </si>
  <si>
    <t>SRB</t>
  </si>
  <si>
    <t>SSD</t>
  </si>
  <si>
    <t>STP</t>
  </si>
  <si>
    <t>SUR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</si>
  <si>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</si>
  <si>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</si>
  <si>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</si>
  <si>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</si>
  <si>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</si>
  <si>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</si>
  <si>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</si>
  <si>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</si>
  <si>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</si>
  <si>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</si>
  <si>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</si>
  <si>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</si>
  <si>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</si>
  <si>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</si>
  <si>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</si>
  <si>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</si>
  <si>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</si>
  <si>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</si>
  <si>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</si>
  <si>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</si>
  <si>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</si>
  <si>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</si>
  <si>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</si>
  <si>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</si>
  <si>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</si>
  <si>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</si>
  <si>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</si>
  <si>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</si>
  <si>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</si>
  <si>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</si>
  <si>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</si>
  <si>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</si>
  <si>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</si>
  <si>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</si>
  <si>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</si>
  <si>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</si>
  <si>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</si>
  <si>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</si>
  <si>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</si>
  <si>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</si>
  <si>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</si>
  <si>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</si>
  <si>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</si>
  <si>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</si>
  <si>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</si>
  <si>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</si>
  <si>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</si>
  <si>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</si>
  <si>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</si>
  <si>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</si>
  <si>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</si>
  <si>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</si>
  <si>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</si>
  <si>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</si>
  <si>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</si>
  <si>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</si>
  <si>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</si>
  <si>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</si>
  <si>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</si>
  <si>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</si>
  <si>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</si>
  <si>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</si>
  <si>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</si>
  <si>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</si>
  <si>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</si>
  <si>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</si>
  <si>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</si>
  <si>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</si>
  <si>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</si>
  <si>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</si>
  <si>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</si>
  <si>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</si>
  <si>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</si>
  <si>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</si>
  <si>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ILO</t>
  </si>
  <si>
    <t>NSO</t>
  </si>
  <si>
    <t>MDL</t>
  </si>
  <si>
    <t>#</t>
  </si>
  <si>
    <t>Country</t>
  </si>
  <si>
    <t>Years</t>
  </si>
  <si>
    <t>Afghanistan</t>
  </si>
  <si>
    <t>Angola</t>
  </si>
  <si>
    <t>Albania</t>
  </si>
  <si>
    <t>Argentina</t>
  </si>
  <si>
    <t>Armenia</t>
  </si>
  <si>
    <t>Antigua and Barbuda</t>
  </si>
  <si>
    <t>Azerbaijan</t>
  </si>
  <si>
    <t>Burundi</t>
  </si>
  <si>
    <t>Benin</t>
  </si>
  <si>
    <t>Burkina Faso</t>
  </si>
  <si>
    <t>Bangladesh</t>
  </si>
  <si>
    <t>Bulgaria</t>
  </si>
  <si>
    <t>Bosnia and Herzegovina</t>
  </si>
  <si>
    <t>Belarus</t>
  </si>
  <si>
    <t>Belize</t>
  </si>
  <si>
    <t>Bolivia</t>
  </si>
  <si>
    <t>Brazil</t>
  </si>
  <si>
    <t>Bhutan</t>
  </si>
  <si>
    <t>Botswana</t>
  </si>
  <si>
    <t>Central African Republic</t>
  </si>
  <si>
    <t>Chile</t>
  </si>
  <si>
    <t>China</t>
  </si>
  <si>
    <t>Côte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</si>
  <si>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</si>
  <si>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</si>
  <si>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</si>
  <si>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</si>
  <si>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</si>
  <si>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</si>
  <si>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</si>
  <si>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Djibouti</t>
  </si>
  <si>
    <t>Dominica</t>
  </si>
  <si>
    <t>Dominican Republic</t>
  </si>
  <si>
    <t>Algeria</t>
  </si>
  <si>
    <t>Ecuador</t>
  </si>
  <si>
    <t>Egypt, Arab Rep.</t>
  </si>
  <si>
    <t>Eritrea</t>
  </si>
  <si>
    <t>Ethiopia</t>
  </si>
  <si>
    <t>Fiji</t>
  </si>
  <si>
    <t>Micronesia, Fed. Sts.</t>
  </si>
  <si>
    <t>Gabon</t>
  </si>
  <si>
    <t>Georgia</t>
  </si>
  <si>
    <t>Ghana</t>
  </si>
  <si>
    <t>Guinea</t>
  </si>
  <si>
    <t>Gambia, The</t>
  </si>
  <si>
    <t>Guinea-Bissau</t>
  </si>
  <si>
    <t>Equatorial Guinea</t>
  </si>
  <si>
    <t>Grenada</t>
  </si>
  <si>
    <t>Guatemala</t>
  </si>
  <si>
    <t>Guyana</t>
  </si>
  <si>
    <t>Honduras</t>
  </si>
  <si>
    <t>Croatia</t>
  </si>
  <si>
    <t>Haiti</t>
  </si>
  <si>
    <t>Indonesia</t>
  </si>
  <si>
    <t>India</t>
  </si>
  <si>
    <t>Iran, Islamic Rep.</t>
  </si>
  <si>
    <t>Iraq</t>
  </si>
  <si>
    <t>Jamaica</t>
  </si>
  <si>
    <t>Jordan</t>
  </si>
  <si>
    <t>Kazakhstan</t>
  </si>
  <si>
    <t>Kenya</t>
  </si>
  <si>
    <t>Kyrgyz Republic</t>
  </si>
  <si>
    <t>Cambodia</t>
  </si>
  <si>
    <t>Kiribati</t>
  </si>
  <si>
    <t>St. Kitts and Nevis</t>
  </si>
  <si>
    <t>Lao PDR</t>
  </si>
  <si>
    <t>Lebanon</t>
  </si>
  <si>
    <t>Liberia</t>
  </si>
  <si>
    <t>Libya</t>
  </si>
  <si>
    <t>St. Lucia</t>
  </si>
  <si>
    <t>Sri Lanka</t>
  </si>
  <si>
    <t>Lesotho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</si>
  <si>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</si>
  <si>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</si>
  <si>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</si>
  <si>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</si>
  <si>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</si>
  <si>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</si>
  <si>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</si>
  <si>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</si>
  <si>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</si>
  <si>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</si>
  <si>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</si>
  <si>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</si>
  <si>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</si>
  <si>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</si>
  <si>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</si>
  <si>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</si>
  <si>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</si>
  <si>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</si>
  <si>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</si>
  <si>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</si>
  <si>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Nepal</t>
  </si>
  <si>
    <t>Nauru</t>
  </si>
  <si>
    <t>Pakistan</t>
  </si>
  <si>
    <t>Panama</t>
  </si>
  <si>
    <t>Peru</t>
  </si>
  <si>
    <t>Philippines</t>
  </si>
  <si>
    <t>Palau</t>
  </si>
  <si>
    <t>Papua New Guinea</t>
  </si>
  <si>
    <t>Poland</t>
  </si>
  <si>
    <t>Paraguay</t>
  </si>
  <si>
    <t>West Bank and Gaza</t>
  </si>
  <si>
    <t>Romania</t>
  </si>
  <si>
    <t>Russian Federation</t>
  </si>
  <si>
    <t>Rwanda</t>
  </si>
  <si>
    <t>Sudan</t>
  </si>
  <si>
    <t>Senegal</t>
  </si>
  <si>
    <t>Solomon Islands</t>
  </si>
  <si>
    <t>Sierra Leone</t>
  </si>
  <si>
    <t>El Salvador</t>
  </si>
  <si>
    <t>Somalia</t>
  </si>
  <si>
    <t>Serbia</t>
  </si>
  <si>
    <t>South Sudan</t>
  </si>
  <si>
    <t>São Tomé and Principe</t>
  </si>
  <si>
    <t>Suriname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</si>
  <si>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</si>
  <si>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</si>
  <si>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</si>
  <si>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</si>
  <si>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</si>
  <si>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</si>
  <si>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</si>
  <si>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</si>
  <si>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</si>
  <si>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</si>
  <si>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</si>
  <si>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</si>
  <si>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</si>
  <si>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</si>
  <si>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</si>
  <si>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</si>
  <si>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</si>
  <si>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</si>
  <si>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Uzbekistan</t>
  </si>
  <si>
    <t>St. Vincent and the Grenadines</t>
  </si>
  <si>
    <t>Venezuela, RB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</si>
  <si>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</si>
  <si>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</si>
  <si>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</si>
  <si>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</si>
  <si>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</si>
  <si>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</si>
  <si>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</si>
  <si>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</si>
  <si>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Bahrain</t>
  </si>
  <si>
    <t>http://lmra.bh/portal/ar/page/show/204
https://www.data.gov.bh/en/Dashboards
https://www.iga.gov.bh/en/category/reports</t>
  </si>
  <si>
    <t>Barbados</t>
  </si>
  <si>
    <t>http://www.barstats.gov.bb/</t>
  </si>
  <si>
    <t>Czech Republic</t>
  </si>
  <si>
    <t>ILO website accessed on 08-31-2020  (https://www.ilo.org/surveyLib/index.php/home)</t>
  </si>
  <si>
    <t>https://www.czso.cz/csu/czso/zamestnanost-a-nezamestnanost-podle-vysledku-vsps-rocni-prumery-2019</t>
  </si>
  <si>
    <t>Greece</t>
  </si>
  <si>
    <t>https://www.statistics.gr/en/statistics/pop</t>
  </si>
  <si>
    <t>Hungary</t>
  </si>
  <si>
    <t>http://www.ksh.hu/adatigenyles_kutatoszobai_hozzaferes?lang=en
http://www.ksh.hu/data_access_safe_centre_access</t>
  </si>
  <si>
    <t>http://www.ksh.hu/labour</t>
  </si>
  <si>
    <t>Latvia</t>
  </si>
  <si>
    <t>Lithuania</t>
  </si>
  <si>
    <t>https://osp.stat.gov.lt/viesos-duomenu-rinkmenos/-/asset_publisher/i2LnhXkrXAbl/content/ketvirtinio-gyventoju-uzimtumo-statistinio-tyrimo-?inheritRedirect=false&amp;redirect=https%3A%2F%2Fosp.stat.gov.lt%2Fviesos-duomenu-rinkmenos%3Fp_p_id%3D101_INSTANCE_i2LnhXkrXAbl%26p_p_lifecycle%3D0%26p_p_state%3Dnormal%26p_p_mode%3Dview%26p_p_col_id%3Dcolumn-1%26p_p_col_pos%3D1%26p_p_col_count%3D2</t>
  </si>
  <si>
    <t>Oman</t>
  </si>
  <si>
    <t>Saudi Arabia</t>
  </si>
  <si>
    <t>https://www.stats.gov.sa/en/814</t>
  </si>
  <si>
    <t>Slovak Republic</t>
  </si>
  <si>
    <t>http://datacube.statistics.sk/#!/view/en/VBD_SLOVSTAT/pr2018rs/v_pr2018rs_00_00_00_en</t>
  </si>
  <si>
    <t>Andorra</t>
  </si>
  <si>
    <t>https://www.estadistica.ad/serveiestudis/web/index.asp?lang=4</t>
  </si>
  <si>
    <t>United Arab Emirates</t>
  </si>
  <si>
    <t>https://www.ilo.org/surveyLib/index.php/catalog/LFS#_r=&amp;collection=&amp;country=216&amp;dtype=&amp;from=1975&amp;page=1&amp;ps=100&amp;sid=&amp;sk=&amp;sort_by=nation&amp;sort_order=&amp;to=2019&amp;topic=&amp;view=s&amp;vk=</t>
  </si>
  <si>
    <t>https://fcsa.gov.ae/en-us/</t>
  </si>
  <si>
    <t>Australia</t>
  </si>
  <si>
    <t>https://www.abs.gov.au/AUSSTATS/abs@.nsf/second+level+view?ReadForm&amp;prodno=6202.0&amp;viewtitle=Labour%20Force,%20Australia~Jul%202020~Latest~13/08/2020&amp;&amp;tabname=Past%20Future%20Issues&amp;prodno=6202.0&amp;issue=Jul%202020&amp;num=&amp;view=&amp;</t>
  </si>
  <si>
    <t>https://www.abs.gov.au/AUSSTATS/abs@.nsf/Lookup/6202.0Explanatory%20Notes1Jul%202020?OpenDocument</t>
  </si>
  <si>
    <t>Austria</t>
  </si>
  <si>
    <t>https://www.ilo.org/surveyLib/index.php/catalog/LFS#_r=&amp;collection=&amp;country=12&amp;dtype=&amp;from=1975&amp;page=1&amp;ps=&amp;sid=&amp;sk=&amp;sort_by=nation&amp;sort_order=&amp;to=2019&amp;topic=&amp;view=s&amp;vk=</t>
  </si>
  <si>
    <t>http://www.statistik.at/web_de/statistiken/menschen_und_gesellschaft/arbeitsmarkt/erwerbstaetige/index.html</t>
  </si>
  <si>
    <t>https://webapps.ilo.org/surveyLib/index.php/catalog/8601</t>
  </si>
  <si>
    <t>Belgium</t>
  </si>
  <si>
    <t>https://statbel.fgov.be/fr/themes/emploi-formation/marche-du-travail/emploi-et-chomage/plus</t>
  </si>
  <si>
    <t>https://statbel.fgov.be/fr/themes/emploi-formation/marche-du-travail/emploi-et-chomage#figures</t>
  </si>
  <si>
    <t>https://statbel.fgov.be/fr/themes/emploi-formation/marche-du-travail/faq</t>
  </si>
  <si>
    <t>Bahamas, The</t>
  </si>
  <si>
    <t>https://www.bahamas.gov.bs/wps/portal/public/key%20statistics/social%20statistics/labour%20force/!ut/p/b1/vZbZrqM4EIaf5TwAHWP2SwiE3QlrAjeIsENIIGwJTz_pVkuj0Uyf3IziurL1lz7X77LlTbg5bcJrPFdFPFa3a3z5OQ_pyBKA5RgcwbOiRAKeJnlGoGxCJunNcXPyA_gQB3URJTvqvFnR-aAabYKqDb0gUXEBpu0HnUhmtDZdM2YivMv1HMXy0U05eG8VTXkoT68LM7JEDn1u-RZisdwDCaP77Ib7Khdku7mFbnonztEtnapbEJ06vicitSOsQUhaSLFg3um1rGWsFjDbNVgzJMiFasAl4anBjl2Vz8s6eYZs54oxumNDvmxJKPFfX68ig1eR4A-DB995AHb47_xvBG88fJMP359B-EtCANnkeZI1ZQrQQPUOBn9gFLgnwW_BdyV-XyR8J8A3wUvA_FHgg427OQEycupnp67NatertZgAR2ZtvraA66iJPORd9mgUEDJs9bW2RyJCzjkALmOr5pgfUt_2BF4cH0qKvQPinwYSnwXKgPw0kP40kPowUAafBsJPA___a6Ftwurc_liS9gf4gVMkRQKaBoDlaAjgxteCJyfe1GUnhbkQxEwyRYN-lVaxYlSr6Tt4c7HuAB38nl2brE2ue2V56OwsbdlG04_eElMTMGXbN3LGFTQXSgUUAj9HW4vOhOJwnTlnsQ9adNqd76_0ISC0FsZ15dyFMe13aZQOAjWWaXbmQJQoZYu17c9nHym3NntjF_sfLW9rJiMDR_RVvMERahgXec3qoD3uSDSOi97iiBaB1p2JpA4Nqfvbri132oH4HZD5MHBPfhr4qwOvQYTOr0-DpNq5FiaJx82B6rSEpFDezrPKS3pvgrJdzxW0ZdTs_XwG6bm-lJ1whCMR4scCw_VtO0Y3sz_QNpMtVXRIhsc4p1WXtSwnUvJ-ts5WWh4HYXdErIxcte_v6wKvzXgK1hNVdhgc54gP1-4eWMUNE7N9SjW5GCkYvK-uOrLD0SFbQ61aOlGmkbSjy27CwpksqlRnl8V1Qr1Tq66kTMu5pVbjhYW9rVSuC55VVuvBZcLyXqUe8cM51VjIlmlk313NqSKkwltZW-rlqE1bc3wqkpEXRj9cuVaIJzjb06ITgGAIVdBN2AHTjzB2VM_L1zuDP91C5P_fQv94U0iWJCGLE4CDDEOx7MavA5oTB7OQVJRr1lgn7JpOcyLEWqxLcmkVHlqw08xce3XqpeF6ZMJLHouFaR8uPSVsz-N8xFYFCv3eypZnt-0aw220fVtbKbS6ztR2SDBRlxbqJZRcItqH22yMHcOYtfACbsnYl_TzFmHSPWP3jeFzjJREGLQ55KMdrWhFRz90H4i36cEK0RIOWRziU7CXzVLxq5N5qkVH7I6yobdYprsWzo98XOT8hUeWX8_jwrELftc2XTvrukHbUo7-HWSM_R3B118_rFt1/dl4/d5/L2dBISEvZ0FBIS9nQSEh/pw/Z7_QB0QSL93A8DE40A64A7B5R3GO1/ren/p=WCM_PI=1/p=urile=wcmQDKpathQDKQCPMOF_ContentQCPinternetQCPDepartmentQCAofQCAStatisticsQCPGovernmentQCPResourcesQCP/p=ns_Z7_QFBB0QFBSL93A8DE40A64A7B5R3GO1_WCM_PreviousPageSize.338701c1-6f1f-41d4-aff2-f0413ea5d543=10/p=ns_Z7_QFBB0QFBSL93A8DE40A64A7B5R3GO1_WCM_Page.338701c1-6f1f-41d4-aff2-f0413ea5d543=1/p=CTX=QCPmof_contentQCPinternetQCPDepartmentQCAofQCAStatisticsQCPGovernmentQCPKeyQCAStatisticsQCPSocialQCAStatisticsQCPLabourQCAForceQCPLabourQCAForce/-/</t>
  </si>
  <si>
    <t>Brunei Darussalam</t>
  </si>
  <si>
    <t>https://www.ilo.org/surveyLib/index.php/catalog?sort_by=rank&amp;sort_order=desc&amp;sk=#_r=&amp;collection=&amp;country=30&amp;dtype=&amp;from=1975&amp;page=1&amp;ps=&amp;sid=&amp;sk=&amp;sort_by=rank&amp;sort_order=desc&amp;to=2019&amp;topic=&amp;view=s&amp;vk=</t>
  </si>
  <si>
    <t>http://www.deps.gov.bn/SitePages/Statistical%20Publications.aspx</t>
  </si>
  <si>
    <t>https://webapps.ilo.org/surveyLib/index.php/catalog/8741</t>
  </si>
  <si>
    <t>Canada</t>
  </si>
  <si>
    <t>https://www.ilo.org/surveyLib/index.php/catalog/LFS#_r=&amp;collection=&amp;country=37&amp;dtype=&amp;from=1975&amp;page=1&amp;ps=100&amp;sid=&amp;sk=&amp;sort_by=nation&amp;sort_order=&amp;to=2019&amp;topic=&amp;view=s&amp;vk=</t>
  </si>
  <si>
    <t>https://www23.statcan.gc.ca/imdb/p2SV.pl?Function=getInstanceList&amp;Id=1287389</t>
  </si>
  <si>
    <t>Switzerland</t>
  </si>
  <si>
    <t>https://www.ilo.org/surveyLib/index.php/catalog/LFS#_r=&amp;collection=&amp;country=208&amp;dtype=&amp;from=1975&amp;page=1&amp;ps=100&amp;sid=&amp;sk=&amp;sort_by=nation&amp;sort_order=&amp;to=2019&amp;topic=&amp;view=s&amp;vk=</t>
  </si>
  <si>
    <t>https://www.bfs.admin.ch/bfs/en/home/statistics/work-income/surveys/slfs.assetdetail.6926681.html</t>
  </si>
  <si>
    <t>Cyprus</t>
  </si>
  <si>
    <t>https://www.mof.gov.cy/mof/cystat/statistics.nsf/labour_31main_en/labour_31main_en?OpenForm&amp;sub=1&amp;sel=1</t>
  </si>
  <si>
    <t>Germany</t>
  </si>
  <si>
    <t>http://www.forschungsdatenzentrum.de/de/haushalte/mikrozensus</t>
  </si>
  <si>
    <t>http://www.forschungsdatenzentrum.de/en/household/microcensus</t>
  </si>
  <si>
    <t>https://www.destatis.de/DE/Themen/Arbeit/Arbeitsmarkt/Erwerbstaetigkeit/_inhalt.html#sprg229398</t>
  </si>
  <si>
    <t>https://ec.europa.eu/eurostat/documents/203647/771732/Datasets-availability-table.pdf</t>
  </si>
  <si>
    <t>Denmark</t>
  </si>
  <si>
    <t>https://www.dst.dk/en/Statistik/dokumentation/documentationofstatistics/labour-force-survey</t>
  </si>
  <si>
    <t>https://www.statbank.dk/statbank5a/default.asp?w=1920</t>
  </si>
  <si>
    <t>Spain</t>
  </si>
  <si>
    <t>https://www.ilo.org/surveyLib/index.php/catalog/LFS#_r=&amp;collection=&amp;country=201&amp;dtype=&amp;from=1975&amp;page=1&amp;ps=100&amp;sid=&amp;sk=&amp;sort_by=nation&amp;sort_order=&amp;to=2019&amp;topic=&amp;view=s&amp;vk=</t>
  </si>
  <si>
    <t>https://www.ine.es/dyngs/INEbase/en/operacion.htm?c=Estadistica_C&amp;cid=1254736176918&amp;menu=resultados&amp;idp=1254735976595#!tabs-1254736030639</t>
  </si>
  <si>
    <t>https://www.ine.es/dyngs/INEbase/en/categoria.htm?c=Estadistica_P&amp;cid=1254735976594</t>
  </si>
  <si>
    <t>Estonia</t>
  </si>
  <si>
    <t>https://www.ilo.org/surveyLib/index.php/catalog/LFS#_r=&amp;collection=&amp;country=68,201&amp;dtype=&amp;from=1975&amp;page=1&amp;ps=100&amp;sid=&amp;sk=&amp;sort_by=nation&amp;sort_order=&amp;to=2019&amp;topic=&amp;view=s&amp;vk=</t>
  </si>
  <si>
    <t>https://www.stat.ee/en/find-statistics/methodology-and-quality/esms-metadata/40701#2-Metadata-update-1</t>
  </si>
  <si>
    <t>https://www.stat.ee/en/find-statistics/statistics-theme/work-life/labour-market</t>
  </si>
  <si>
    <t>https://www.stat.ee/en/submit-data/about-data-submission/personal-surveys#Kuidas-olla-kindel-et-tegemist-on-statistikaameti-uuringuga-92</t>
  </si>
  <si>
    <t>Finland</t>
  </si>
  <si>
    <t>http://www.stat.fi/til/tyti/index_en.html</t>
  </si>
  <si>
    <t>http://www.stat.fi/keruu/tyo/index_en.html</t>
  </si>
  <si>
    <t>http://pxnet2.stat.fi/PXWeb/pxweb/en/StatFin/StatFin__tym__tyti__vv/?tablelist=true</t>
  </si>
  <si>
    <t>France</t>
  </si>
  <si>
    <t>https://www.ilo.org/surveyLib/index.php/catalog/LFS#_r=&amp;collection=&amp;country=75&amp;dtype=&amp;from=1975&amp;page=1&amp;ps=100&amp;sid=&amp;sk=&amp;sort_by=nation&amp;sort_order=&amp;to=2019&amp;topic=&amp;view=s&amp;vk=</t>
  </si>
  <si>
    <t>https://www.insee.fr/en/metadonnees/source/serie/s1223</t>
  </si>
  <si>
    <t>United Kingdom</t>
  </si>
  <si>
    <t>https://www.ilo.org/surveyLib/index.php/catalog/LFS#_r=&amp;collection=&amp;country=226&amp;dtype=&amp;from=1975&amp;page=1&amp;ps=100&amp;sid=&amp;sk=&amp;sort_by=nation&amp;sort_order=&amp;to=2019&amp;topic=&amp;view=s&amp;vk=</t>
  </si>
  <si>
    <t>https://www.ons.gov.uk/employmentandlabourmarket/peopleinwork/employmentandemployeetypes/methodologies/labourforcesurveyuserguidance</t>
  </si>
  <si>
    <t>https://www.ons.gov.uk/employmentandlabourmarket/peopleinwork/employmentandemployeetypes/methodologies/labourforcesurveylfsqmi</t>
  </si>
  <si>
    <t>Ireland</t>
  </si>
  <si>
    <t>https://www.ilo.org/surveyLib/index.php/catalog/LFS#_r=&amp;collection=&amp;country=106&amp;dtype=&amp;from=1975&amp;page=1&amp;ps=100&amp;sid=&amp;sk=&amp;sort_by=nation&amp;sort_order=&amp;to=2019&amp;topic=&amp;view=s&amp;vk=</t>
  </si>
  <si>
    <t>https://www.cso.ie/en/statistics/labourmarket/</t>
  </si>
  <si>
    <t>Iceland</t>
  </si>
  <si>
    <t>https://statice.is/statistics/society/labour-market/labour-force-survey/</t>
  </si>
  <si>
    <t>https://statice.is/statistics/society/labour-market/</t>
  </si>
  <si>
    <t>Israel</t>
  </si>
  <si>
    <t>https://www.ilo.org/surveyLib/index.php/catalog/LFS#_r=&amp;collection=&amp;country=107&amp;dtype=&amp;from=1975&amp;page=1&amp;ps=100&amp;sid=&amp;sk=&amp;sort_by=nation&amp;sort_order=&amp;to=2019&amp;topic=&amp;view=s&amp;vk=</t>
  </si>
  <si>
    <t>https://www.cbs.gov.il/en/Pages/SubjectPressReleases.aspx?CbsSubject=%D7%A9%D7%95%D7%A7%20%D7%94%D7%A2%D7%91%D7%95%D7%93%D7%94</t>
  </si>
  <si>
    <t>Italy</t>
  </si>
  <si>
    <t>https://www.ilo.org/surveyLib/index.php/catalog/LFS#_r=&amp;collection=&amp;country=108&amp;dtype=&amp;from=1975&amp;page=1&amp;ps=100&amp;sid=&amp;sk=&amp;sort_by=nation&amp;sort_order=&amp;to=2019&amp;topic=&amp;view=s&amp;vk=</t>
  </si>
  <si>
    <t>http://siqual.istat.it/SIQual/visualizza.do?id=5000098</t>
  </si>
  <si>
    <t>http://dati.istat.it/?lang=en#</t>
  </si>
  <si>
    <t>Japan</t>
  </si>
  <si>
    <t>http://www.stat.go.jp/english/data/roudou/index.html</t>
  </si>
  <si>
    <t>http://www.stat.go.jp/english/data/roudou/report/index.html</t>
  </si>
  <si>
    <t>http://www.stat.go.jp/english/data/shugyou/index.html</t>
  </si>
  <si>
    <t>Korea, Rep.</t>
  </si>
  <si>
    <t>https://www.ilo.org/surveyLib/index.php/catalog/LFS#_r=&amp;collection=&amp;country=116&amp;dtype=&amp;from=1975&amp;page=1&amp;ps=100&amp;sid=&amp;sk=&amp;sort_by=nation&amp;sort_order=&amp;to=2019&amp;topic=&amp;view=s&amp;vk=</t>
  </si>
  <si>
    <t>http://kostat.go.kr/portal/eng/surveyOutline/4/1/index.static</t>
  </si>
  <si>
    <t>http://kostat.go.kr/portal/korea/kor_nw/1/3/2/index.board?bmode=list&amp;bSeq=&amp;aSeq=&amp;pageNo=17&amp;rowNum=10&amp;navCount=10&amp;currPg=&amp;searchInfo=&amp;sTarget=title&amp;sTxt=</t>
  </si>
  <si>
    <t>http://kosis.kr/eng/statisticsList/statisticsListIndex.do?menuId=M_01_01&amp;vwcd=MT_ETITLE&amp;parmTabId=M_01_01&amp;statId=1962009&amp;themaId=#E_2.2</t>
  </si>
  <si>
    <t>Kuwait</t>
  </si>
  <si>
    <t>https://www.csb.gov.kw/Pages/Statistics?ID=64&amp;ParentCatID=1</t>
  </si>
  <si>
    <t>Luxembourg</t>
  </si>
  <si>
    <t>https://statistiques.public.lu/stat/ReportFolders/ReportFolder.aspx?IF_Language=eng&amp;MainTheme=2&amp;FldrName=3</t>
  </si>
  <si>
    <t>https://statistiques.public.lu/fr/enquetes/espace-menages/forces-travail/index.html</t>
  </si>
  <si>
    <t>Malta</t>
  </si>
  <si>
    <t>https://nso.gov.mt/en/nso/Sources_and_Methods/Unit_C2/Labour_Market_Statistics/Pages/Labour-Force-Survey.aspx</t>
  </si>
  <si>
    <t>https://nso.gov.mt/en/News_Releases/View_by_Unit/Unit_C2/Labour_Market_Statistics/Pages/Labour-Force-Survey.aspx</t>
  </si>
  <si>
    <t>https://nso.gov.mt/en/publicatons/Publications_by_Unit/Pages/C2-Labour-Market-Statistics.aspx</t>
  </si>
  <si>
    <t>Netherlands</t>
  </si>
  <si>
    <t>https://www.ilo.org/surveyLib/index.php/catalog/LFS#_r=&amp;collection=&amp;country=149&amp;dtype=&amp;from=1975&amp;page=1&amp;ps=100&amp;sid=&amp;sk=&amp;sort_by=nation&amp;sort_order=&amp;to=2019&amp;topic=&amp;view=s&amp;vk=</t>
  </si>
  <si>
    <t>https://www.cbs.nl/nl-nl/onze-diensten/maatwerk-en-microdata/microdata-zelf-onderzoek-doen/catalogus-microdata/arbeid-en-sociale-zekerheid#id=ebb-enquete-beroepsbevolking-2012-2018-0</t>
  </si>
  <si>
    <t>https://opendata.cbs.nl/statline/#/CBS/en/dataset/84166ENG/table?ts=1600877063870</t>
  </si>
  <si>
    <t>Norway</t>
  </si>
  <si>
    <t>https://www.ssb.no/en/arbeid-og-lonn/statistikker/aku</t>
  </si>
  <si>
    <t>https://www.ssb.no/en/statbank/list/aku</t>
  </si>
  <si>
    <t>New Zealand</t>
  </si>
  <si>
    <t>http://archive.stats.govt.nz/browse_for_stats/income-and-work/employment_and_unemployment/household-labour-force-survey-info-releases.aspx#gsc.tab=0</t>
  </si>
  <si>
    <t>http://archive.stats.govt.nz/survey-participants/a-z-of-our-surveys/household-labour-force-survey.aspx#gsc.tab=0</t>
  </si>
  <si>
    <t>Portugal</t>
  </si>
  <si>
    <t>https://www.ilo.org/surveyLib/index.php/catalog/LFS#_r=&amp;collection=&amp;country=174&amp;dtype=&amp;from=1975&amp;page=1&amp;ps=100&amp;sid=&amp;sk=&amp;sort_by=nation&amp;sort_order=&amp;to=2019&amp;topic=&amp;view=s&amp;vk=</t>
  </si>
  <si>
    <t>https://www.ine.pt/xportal/xmain?xpid=INE&amp;xpgid=ine_publicacoes&amp;PUBLICACOESpub_boui=411651997&amp;PUBLICACOEStema=5414314&amp;PUBLICACOESmodo=2</t>
  </si>
  <si>
    <t>Qatar</t>
  </si>
  <si>
    <t>https://www.psa.gov.qa/en/statistics1/pages/topicslisting.aspx?parent=Social&amp;child=LaborForce</t>
  </si>
  <si>
    <t>Singapore</t>
  </si>
  <si>
    <t>https://www.tablebuilder.singstat.gov.sg/publicfacing/createDataTable.action?refId=14821</t>
  </si>
  <si>
    <t>https://stats.mom.gov.sg/SL/Pages/Employment-Survey-Source-Data-and-Other-Resources.aspx?Flag=1&amp;TRMID=309&amp;PageNo=1</t>
  </si>
  <si>
    <t>Slovenia</t>
  </si>
  <si>
    <t>https://www.stat.si/StatWeb/en/Field/Index/3</t>
  </si>
  <si>
    <t>Sweden</t>
  </si>
  <si>
    <t>https://www.scb.se/en/finding-statistics/statistics-by-subject-area/labour-market/labour-force-surveys/labour-force-surveys-lfs/</t>
  </si>
  <si>
    <t>United States</t>
  </si>
  <si>
    <t>https://www.ilo.org/surveyLib/index.php/catalog/LFS#_r=&amp;collection=&amp;country=228&amp;dtype=&amp;from=1975&amp;page=1&amp;ps=100&amp;sid=&amp;sk=&amp;sort_by=nation&amp;sort_order=&amp;to=2019&amp;topic=&amp;view=s&amp;vk=</t>
  </si>
  <si>
    <t>https://www.census.gov/programs-surveys/cps.html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</si>
</sst>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886D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/>
    </xf>
    <xf numFmtId="0" fontId="0" fillId="2" borderId="0" xfId="0" applyFill="1"/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8" fillId="3" borderId="0" xfId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8" fillId="5" borderId="0" xfId="1" applyFont="1" applyFill="1" applyAlignment="1">
      <alignment horizontal="left"/>
    </xf>
    <xf numFmtId="0" fontId="7" fillId="5" borderId="1" xfId="0" applyFont="1" applyFill="1" applyBorder="1"/>
    <xf numFmtId="0" fontId="7" fillId="4" borderId="1" xfId="0" applyFont="1" applyFill="1" applyBorder="1"/>
    <xf numFmtId="0" fontId="7" fillId="3" borderId="1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  <xf numFmtId="0" fontId="7" fillId="3" borderId="2" xfId="0" applyFont="1" applyFill="1" applyBorder="1"/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7" fillId="0" borderId="0" xfId="0" applyFont="1"/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12" fillId="0" borderId="1" xfId="2" applyBorder="1" applyAlignment="1"/>
    <xf numFmtId="0" fontId="8" fillId="4" borderId="1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12" fillId="0" borderId="1" xfId="2" applyBorder="1"/>
    <xf numFmtId="0" fontId="7" fillId="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2"/>
    <xf numFmtId="0" fontId="12" fillId="0" borderId="0" xfId="2" applyAlignment="1">
      <alignment horizontal="left"/>
    </xf>
    <xf numFmtId="0" fontId="7" fillId="6" borderId="1" xfId="0" applyFont="1" applyFill="1" applyBorder="1"/>
    <xf numFmtId="0" fontId="2" fillId="4" borderId="0" xfId="1" applyFont="1" applyFill="1" applyAlignment="1">
      <alignment horizontal="left"/>
    </xf>
    <xf numFmtId="0" fontId="11" fillId="7" borderId="0" xfId="0" applyFont="1" applyFill="1"/>
    <xf numFmtId="0" fontId="7" fillId="7" borderId="1" xfId="0" applyFont="1" applyFill="1" applyBorder="1"/>
    <xf numFmtId="0" fontId="7" fillId="0" borderId="2" xfId="0" applyFont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2" fillId="4" borderId="1" xfId="1" applyFont="1" applyFill="1" applyBorder="1" applyAlignment="1">
      <alignment horizontal="left"/>
    </xf>
    <xf numFmtId="0" fontId="11" fillId="0" borderId="0" xfId="0" applyFont="1"/>
    <xf numFmtId="0" fontId="3" fillId="0" borderId="0" xfId="0" applyFont="1" applyAlignment="1">
      <alignment horizontal="center" vertical="center" wrapText="1"/>
    </xf>
    <xf numFmtId="0" fontId="7" fillId="4" borderId="0" xfId="0" applyFont="1" applyFill="1"/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D886D2"/>
      <color rgb="FFCC99FF"/>
      <color rgb="FFCCFF66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bel.fgov.be/fr/themes/emploi-formation/marche-du-travail/emploi-et-chomage/plus" TargetMode="External"/><Relationship Id="rId18" Type="http://schemas.openxmlformats.org/officeDocument/2006/relationships/hyperlink" Target="http://www.forschungsdatenzentrum.de/de/haushalte/mikrozensus" TargetMode="External"/><Relationship Id="rId26" Type="http://schemas.openxmlformats.org/officeDocument/2006/relationships/hyperlink" Target="http://www.stat.fi/til/tyti/index_en.html" TargetMode="External"/><Relationship Id="rId39" Type="http://schemas.openxmlformats.org/officeDocument/2006/relationships/hyperlink" Target="https://www.ssb.no/en/arbeid-og-lonn/statistikker/aku" TargetMode="External"/><Relationship Id="rId21" Type="http://schemas.openxmlformats.org/officeDocument/2006/relationships/hyperlink" Target="https://www.stat.ee/en/find-statistics/methodology-and-quality/esms-metadata/40701" TargetMode="External"/><Relationship Id="rId34" Type="http://schemas.openxmlformats.org/officeDocument/2006/relationships/hyperlink" Target="https://www.csb.gov.kw/Pages/Statistics?ID=64&amp;ParentCatID=1" TargetMode="External"/><Relationship Id="rId42" Type="http://schemas.openxmlformats.org/officeDocument/2006/relationships/hyperlink" Target="https://www.ine.pt/xportal/xmain?xpid=INE&amp;xpgid=ine_publicacoes&amp;PUBLICACOESpub_boui=411651997&amp;PUBLICACOEStema=5414314&amp;PUBLICACOESmodo=2" TargetMode="External"/><Relationship Id="rId47" Type="http://schemas.openxmlformats.org/officeDocument/2006/relationships/hyperlink" Target="https://www.census.gov/programs-surveys/cps.html" TargetMode="External"/><Relationship Id="rId50" Type="http://schemas.openxmlformats.org/officeDocument/2006/relationships/hyperlink" Target="https://www.ilo.org/surveyLib/index.php/catalog/LFS" TargetMode="External"/><Relationship Id="rId55" Type="http://schemas.openxmlformats.org/officeDocument/2006/relationships/hyperlink" Target="https://webapps.ilo.org/surveyLib/index.php/catalog/8741" TargetMode="External"/><Relationship Id="rId63" Type="http://schemas.openxmlformats.org/officeDocument/2006/relationships/comments" Target="../comments1.xml"/><Relationship Id="rId7" Type="http://schemas.openxmlformats.org/officeDocument/2006/relationships/hyperlink" Target="https://statistiques.public.lu/fr/enquetes/espace-menages/forces-travail/index.html" TargetMode="External"/><Relationship Id="rId2" Type="http://schemas.openxmlformats.org/officeDocument/2006/relationships/hyperlink" Target="https://www.statistics.gr/en/statistics/pop" TargetMode="External"/><Relationship Id="rId16" Type="http://schemas.openxmlformats.org/officeDocument/2006/relationships/hyperlink" Target="https://www.mof.gov.cy/mof/cystat/statistics.nsf/labour_31main_en/labour_31main_en?OpenForm&amp;sub=1&amp;sel=1" TargetMode="External"/><Relationship Id="rId29" Type="http://schemas.openxmlformats.org/officeDocument/2006/relationships/hyperlink" Target="https://www.ilo.org/surveyLib/index.php/catalog/LFS" TargetMode="External"/><Relationship Id="rId11" Type="http://schemas.openxmlformats.org/officeDocument/2006/relationships/hyperlink" Target="https://www.ilo.org/surveyLib/index.php/catalog/LFS" TargetMode="External"/><Relationship Id="rId24" Type="http://schemas.openxmlformats.org/officeDocument/2006/relationships/hyperlink" Target="https://www.stat.ee/en/find-statistics/statistics-theme/work-life/labour-market" TargetMode="External"/><Relationship Id="rId32" Type="http://schemas.openxmlformats.org/officeDocument/2006/relationships/hyperlink" Target="http://www.stat.go.jp/english/data/shugyou/index.html" TargetMode="External"/><Relationship Id="rId37" Type="http://schemas.openxmlformats.org/officeDocument/2006/relationships/hyperlink" Target="https://www.cbs.nl/nl-nl/onze-diensten/maatwerk-en-microdata/microdata-zelf-onderzoek-doen/catalogus-microdata/arbeid-en-sociale-zekerheid" TargetMode="External"/><Relationship Id="rId40" Type="http://schemas.openxmlformats.org/officeDocument/2006/relationships/hyperlink" Target="http://archive.stats.govt.nz/survey-participants/a-z-of-our-surveys/household-labour-force-survey.aspx" TargetMode="External"/><Relationship Id="rId45" Type="http://schemas.openxmlformats.org/officeDocument/2006/relationships/hyperlink" Target="https://www.stat.si/StatWeb/en/Field/Index/3" TargetMode="External"/><Relationship Id="rId53" Type="http://schemas.openxmlformats.org/officeDocument/2006/relationships/hyperlink" Target="https://www.bahamas.gov.bs/wps/portal/public/key%20statistics/social%20statistics/labour%20force/!ut/p/b1/vZbZrqM4EIaf5TwAHWP2SwiE3QlrAjeIsENIIGwJTz_pVkuj0Uyf3IziurL1lz7X77LlTbg5bcJrPFdFPFa3a3z5OQ_pyBKA5RgcwbOiRAKeJnlGoGxCJunNcXPyA_gQB3URJTvqvFnR-aAabYKqDb0gUXEBpu0HnUhmtDZdM2YivMv1HMXy0U05eG8VTXkoT68LM7JEDn1u-RZisdwDCaP77Ib7Khdku7mFbnonztEtnapbEJ06vicitSOsQUhaSLFg3um1rGWsFjDbNVgzJMiFasAl4anBjl2Vz8s6eYZs54oxumNDvmxJKPFfX68ig1eR4A-DB995AHb47_xvBG88fJMP359B-EtCANnkeZI1ZQrQQPUOBn9gFLgnwW_BdyV-XyR8J8A3wUvA_FHgg427OQEycupnp67NatertZgAR2ZtvraA66iJPORd9mgUEDJs9bW2RyJCzjkALmOr5pgfUt_2BF4cH0qKvQPinwYSnwXKgPw0kP40kPowUAafBsJPA___a6Ftwurc_liS9gf4gVMkRQKaBoDlaAjgxteCJyfe1GUnhbkQxEwyRYN-lVaxYlSr6Tt4c7HuAB38nl2brE2ue2V56OwsbdlG04_eElMTMGXbN3LGFTQXSgUUAj9HW4vOhOJwnTlnsQ9adNqd76_0ISC0FsZ15dyFMe13aZQOAjWWaXbmQJQoZYu17c9nHym3NntjF_sfLW9rJiMDR_RVvMERahgXec3qoD3uSDSOi97iiBaB1p2JpA4Nqfvbri132oH4HZD5MHBPfhr4qwOvQYTOr0-DpNq5FiaJx82B6rSEpFDezrPKS3pvgrJdzxW0ZdTs_XwG6bm-lJ1whCMR4scCw_VtO0Y3sz_QNpMtVXRIhsc4p1WXtSwnUvJ-ts5WWh4HYXdErIxcte_v6wKvzXgK1hNVdhgc54gP1-4eWMUNE7N9SjW5GCkYvK-uOrLD0SFbQ61aOlGmkbSjy27CwpksqlRnl8V1Qr1Tq66kTMu5pVbjhYW9rVSuC55VVuvBZcLyXqUe8cM51VjIlmlk313NqSKkwltZW-rlqE1bc3wqkpEXRj9cuVaIJzjb06ITgGAIVdBN2AHTjzB2VM_L1zuDP91C5P_fQv94U0iWJCGLE4CDDEOx7MavA5oTB7OQVJRr1lgn7JpOcyLEWqxLcmkVHlqw08xce3XqpeF6ZMJLHouFaR8uPSVsz-N8xFYFCv3eypZnt-0aw220fVtbKbS6ztR2SDBRlxbqJZRcItqH22yMHcOYtfACbsnYl_TzFmHSPWP3jeFzjJREGLQ55KMdrWhFRz90H4i36cEK0RIOWRziU7CXzVLxq5N5qkVH7I6yobdYprsWzo98XOT8hUeWX8_jwrELftc2XTvrukHbUo7-HWSM_R3B118_rFt1/dl4/d5/L2dBISEvZ0FBIS9nQSEh/pw/Z7_QB0QSL93A8DE40A64A7B5R3GO1/ren/p=WCM_PI=1/p=urile=wcmQDKpathQDKQCPMOF_ContentQCPinternetQCPDepartmentQCAofQCAStatisticsQCPGovernmentQCPResourcesQCP/p=ns_Z7_QFBB0QFBSL93A8DE40A64A7B5R3GO1_WCM_PreviousPageSize.338701c1-6f1f-41d4-aff2-f0413ea5d543=10/p=ns_Z7_QFBB0QFBSL93A8DE40A64A7B5R3GO1_WCM_Page.338701c1-6f1f-41d4-aff2-f0413ea5d543=1/p=CTX=QCPmof_contentQCPinternetQCPDepartmentQCAofQCAStatisticsQCPGovernmentQCPKeyQCAStatisticsQCPSocialQCAStatisticsQCPLabourQCAForceQCPLabourQCAForce/-/" TargetMode="External"/><Relationship Id="rId58" Type="http://schemas.openxmlformats.org/officeDocument/2006/relationships/hyperlink" Target="https://www.statbank.dk/statbank5a/default.asp?w=1920" TargetMode="External"/><Relationship Id="rId5" Type="http://schemas.openxmlformats.org/officeDocument/2006/relationships/hyperlink" Target="https://www.ilo.org/surveyLib/index.php/catalog/LFS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destatis.de/DE/Themen/Arbeit/Arbeitsmarkt/Erwerbstaetigkeit/_inhalt.html" TargetMode="External"/><Relationship Id="rId14" Type="http://schemas.openxmlformats.org/officeDocument/2006/relationships/hyperlink" Target="https://statbel.fgov.be/fr/themes/emploi-formation/marche-du-travail/emploi-et-chomage" TargetMode="External"/><Relationship Id="rId22" Type="http://schemas.openxmlformats.org/officeDocument/2006/relationships/hyperlink" Target="https://www.ine.es/dyngs/INEbase/en/operacion.htm?c=Estadistica_C&amp;cid=1254736176918&amp;menu=resultados&amp;idp=1254735976595" TargetMode="External"/><Relationship Id="rId27" Type="http://schemas.openxmlformats.org/officeDocument/2006/relationships/hyperlink" Target="https://www.insee.fr/en/metadonnees/source/serie/s1223" TargetMode="External"/><Relationship Id="rId30" Type="http://schemas.openxmlformats.org/officeDocument/2006/relationships/hyperlink" Target="http://siqual.istat.it/SIQual/visualizza.do?id=5000098" TargetMode="External"/><Relationship Id="rId35" Type="http://schemas.openxmlformats.org/officeDocument/2006/relationships/hyperlink" Target="https://nso.gov.mt/en/nso/Sources_and_Methods/Unit_C2/Labour_Market_Statistics/Pages/Labour-Force-Survey.aspx" TargetMode="External"/><Relationship Id="rId43" Type="http://schemas.openxmlformats.org/officeDocument/2006/relationships/hyperlink" Target="https://www.psa.gov.qa/en/statistics1/pages/topicslisting.aspx?parent=Social&amp;child=LaborForce" TargetMode="External"/><Relationship Id="rId48" Type="http://schemas.openxmlformats.org/officeDocument/2006/relationships/hyperlink" Target="http://www.barstats.gov.bb/" TargetMode="External"/><Relationship Id="rId56" Type="http://schemas.openxmlformats.org/officeDocument/2006/relationships/hyperlink" Target="https://www.ilo.org/surveyLib/index.php/catalog/LFS" TargetMode="External"/><Relationship Id="rId8" Type="http://schemas.openxmlformats.org/officeDocument/2006/relationships/hyperlink" Target="https://www.stats.gov.sa/en/814" TargetMode="External"/><Relationship Id="rId51" Type="http://schemas.openxmlformats.org/officeDocument/2006/relationships/hyperlink" Target="https://webapps.ilo.org/surveyLib/index.php/catalog/8601" TargetMode="External"/><Relationship Id="rId3" Type="http://schemas.openxmlformats.org/officeDocument/2006/relationships/hyperlink" Target="http://www.ksh.hu/data_access_safe_centre_access" TargetMode="External"/><Relationship Id="rId12" Type="http://schemas.openxmlformats.org/officeDocument/2006/relationships/hyperlink" Target="https://www.abs.gov.au/AUSSTATS/abs@.nsf/second+level+view?ReadForm&amp;prodno=6202.0&amp;viewtitle=Labour%20Force,%20Australia~Jul%202020~Latest~13/08/2020&amp;&amp;tabname=Past%20Future%20Issues&amp;prodno=6202.0&amp;issue=Jul%202020&amp;num=&amp;view=&amp;" TargetMode="External"/><Relationship Id="rId17" Type="http://schemas.openxmlformats.org/officeDocument/2006/relationships/hyperlink" Target="http://www.forschungsdatenzentrum.de/en/household/microcensus" TargetMode="External"/><Relationship Id="rId25" Type="http://schemas.openxmlformats.org/officeDocument/2006/relationships/hyperlink" Target="https://www.stat.ee/en/submit-data/about-data-submission/personal-surveys" TargetMode="External"/><Relationship Id="rId33" Type="http://schemas.openxmlformats.org/officeDocument/2006/relationships/hyperlink" Target="http://kostat.go.kr/portal/eng/surveyOutline/4/1/index.static" TargetMode="External"/><Relationship Id="rId38" Type="http://schemas.openxmlformats.org/officeDocument/2006/relationships/hyperlink" Target="https://opendata.cbs.nl/statline/" TargetMode="External"/><Relationship Id="rId46" Type="http://schemas.openxmlformats.org/officeDocument/2006/relationships/hyperlink" Target="https://www.scb.se/en/finding-statistics/statistics-by-subject-area/labour-market/labour-force-surveys/labour-force-surveys-lfs/" TargetMode="External"/><Relationship Id="rId59" Type="http://schemas.openxmlformats.org/officeDocument/2006/relationships/hyperlink" Target="https://www.ilo.org/surveyLib/index.php/catalog/LFS" TargetMode="External"/><Relationship Id="rId20" Type="http://schemas.openxmlformats.org/officeDocument/2006/relationships/hyperlink" Target="https://www.dst.dk/en/Statistik/dokumentation/documentationofstatistics/labour-force-survey" TargetMode="External"/><Relationship Id="rId41" Type="http://schemas.openxmlformats.org/officeDocument/2006/relationships/hyperlink" Target="http://archive.stats.govt.nz/browse_for_stats/income-and-work/employment_and_unemployment/household-labour-force-survey-info-releases.aspx" TargetMode="External"/><Relationship Id="rId54" Type="http://schemas.openxmlformats.org/officeDocument/2006/relationships/hyperlink" Target="https://www.ilo.org/surveyLib/index.php/catalog?sort_by=rank&amp;sort_order=desc&amp;sk=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https://www.iga.gov.bh/en/category/reports" TargetMode="External"/><Relationship Id="rId6" Type="http://schemas.openxmlformats.org/officeDocument/2006/relationships/hyperlink" Target="https://statistiques.public.lu/stat/ReportFolders/ReportFolder.aspx?IF_Language=eng&amp;MainTheme=2&amp;FldrName=3" TargetMode="External"/><Relationship Id="rId15" Type="http://schemas.openxmlformats.org/officeDocument/2006/relationships/hyperlink" Target="https://www23.statcan.gc.ca/imdb/p2SV.pl?Function=getInstanceList&amp;Id=1287389" TargetMode="External"/><Relationship Id="rId23" Type="http://schemas.openxmlformats.org/officeDocument/2006/relationships/hyperlink" Target="https://www.ilo.org/surveyLib/index.php/catalog/LFS" TargetMode="External"/><Relationship Id="rId28" Type="http://schemas.openxmlformats.org/officeDocument/2006/relationships/hyperlink" Target="https://statice.is/statistics/society/labour-market/labour-force-survey/" TargetMode="External"/><Relationship Id="rId36" Type="http://schemas.openxmlformats.org/officeDocument/2006/relationships/hyperlink" Target="https://nso.gov.mt/en/News_Releases/View_by_Unit/Unit_C2/Labour_Market_Statistics/Pages/Labour-Force-Survey.aspx" TargetMode="External"/><Relationship Id="rId49" Type="http://schemas.openxmlformats.org/officeDocument/2006/relationships/hyperlink" Target="https://www.ons.gov.uk/employmentandlabourmarket/peopleinwork/employmentandemployeetypes/methodologies/labourforcesurveyuserguidance" TargetMode="External"/><Relationship Id="rId57" Type="http://schemas.openxmlformats.org/officeDocument/2006/relationships/hyperlink" Target="https://www.ilo.org/surveyLib/index.php/catalog/LFS" TargetMode="External"/><Relationship Id="rId10" Type="http://schemas.openxmlformats.org/officeDocument/2006/relationships/hyperlink" Target="https://www.estadistica.ad/serveiestudis/web/index.asp?lang=4" TargetMode="External"/><Relationship Id="rId31" Type="http://schemas.openxmlformats.org/officeDocument/2006/relationships/hyperlink" Target="http://www.stat.go.jp/english/data/roudou/index.html" TargetMode="External"/><Relationship Id="rId44" Type="http://schemas.openxmlformats.org/officeDocument/2006/relationships/hyperlink" Target="https://www.tablebuilder.singstat.gov.sg/publicfacing/createDataTable.action?refId=14821" TargetMode="External"/><Relationship Id="rId52" Type="http://schemas.openxmlformats.org/officeDocument/2006/relationships/hyperlink" Target="http://www.statistik.at/web_de/statistiken/menschen_und_gesellschaft/arbeitsmarkt/erwerbstaetige/index.html" TargetMode="External"/><Relationship Id="rId60" Type="http://schemas.openxmlformats.org/officeDocument/2006/relationships/hyperlink" Target="https://ec.europa.eu/eurostat/documents/203647/771732/Datasets-availability-table.pdf" TargetMode="External"/><Relationship Id="rId4" Type="http://schemas.openxmlformats.org/officeDocument/2006/relationships/hyperlink" Target="https://statbel.fgov.be/fr/themes/emploi-formation/marche-du-travail/faq" TargetMode="External"/><Relationship Id="rId9" Type="http://schemas.openxmlformats.org/officeDocument/2006/relationships/hyperlink" Target="http://datacube.statistics.s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DDB-AEF5-4276-8A85-C94955DAB41B}">
  <dimension ref="A1:AB192"/>
  <sheetViews>
    <sheetView workbookViewId="0">
      <selection activeCell="K19" sqref="K19"/>
    </sheetView>
  </sheetViews>
  <sheetFormatPr baseColWidth="10" defaultColWidth="8.83203125" defaultRowHeight="15" x14ac:dyDescent="0.2"/>
  <cols>
    <col min="2" max="2" width="14.83203125" customWidth="1"/>
  </cols>
  <sheetData>
    <row r="1" spans="1:2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">
      <c r="A2" t="s">
        <v>26</v>
      </c>
      <c r="B2" t="s">
        <v>27</v>
      </c>
      <c r="C2" t="s">
        <v>28</v>
      </c>
    </row>
    <row r="3" spans="1:28" x14ac:dyDescent="0.2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</row>
    <row r="5" spans="1:28" x14ac:dyDescent="0.2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</row>
    <row r="6" spans="1:28" x14ac:dyDescent="0.2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</row>
    <row r="7" spans="1:28" x14ac:dyDescent="0.2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</row>
    <row r="8" spans="1:28" x14ac:dyDescent="0.2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</row>
    <row r="12" spans="1:28" x14ac:dyDescent="0.2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</row>
    <row r="13" spans="1:28" x14ac:dyDescent="0.2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</row>
    <row r="14" spans="1:28" x14ac:dyDescent="0.2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</row>
    <row r="15" spans="1:28" x14ac:dyDescent="0.2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</row>
    <row r="16" spans="1:28" x14ac:dyDescent="0.2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</row>
    <row r="17" spans="1:28" x14ac:dyDescent="0.2">
      <c r="A17" t="s">
        <v>44</v>
      </c>
      <c r="B17" t="s">
        <v>30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</row>
    <row r="18" spans="1:28" x14ac:dyDescent="0.2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</row>
    <row r="19" spans="1:28" x14ac:dyDescent="0.2">
      <c r="A19" t="s">
        <v>46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</row>
    <row r="20" spans="1:28" x14ac:dyDescent="0.2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</row>
    <row r="21" spans="1:28" x14ac:dyDescent="0.2">
      <c r="A21" t="s">
        <v>48</v>
      </c>
      <c r="B21" t="s">
        <v>30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</row>
    <row r="24" spans="1:28" x14ac:dyDescent="0.2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</row>
    <row r="26" spans="1:28" x14ac:dyDescent="0.2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</row>
    <row r="30" spans="1:28" x14ac:dyDescent="0.2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</row>
    <row r="32" spans="1:28" x14ac:dyDescent="0.2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</row>
    <row r="33" spans="1:28" x14ac:dyDescent="0.2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</row>
    <row r="36" spans="1:28" x14ac:dyDescent="0.2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</row>
    <row r="38" spans="1:28" x14ac:dyDescent="0.2">
      <c r="A38" t="s">
        <v>65</v>
      </c>
      <c r="B38" t="s">
        <v>30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0</v>
      </c>
    </row>
    <row r="39" spans="1:28" x14ac:dyDescent="0.2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</row>
    <row r="45" spans="1:28" x14ac:dyDescent="0.2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73</v>
      </c>
      <c r="B46" t="s">
        <v>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</row>
    <row r="48" spans="1:28" x14ac:dyDescent="0.2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</row>
    <row r="52" spans="1:28" x14ac:dyDescent="0.2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</row>
    <row r="53" spans="1:28" x14ac:dyDescent="0.2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</row>
    <row r="54" spans="1:28" x14ac:dyDescent="0.2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0</v>
      </c>
    </row>
    <row r="55" spans="1:28" x14ac:dyDescent="0.2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83</v>
      </c>
      <c r="B56" t="s">
        <v>30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0</v>
      </c>
    </row>
    <row r="57" spans="1:28" x14ac:dyDescent="0.2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</row>
    <row r="58" spans="1:28" x14ac:dyDescent="0.2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0</v>
      </c>
    </row>
    <row r="59" spans="1:28" x14ac:dyDescent="0.2">
      <c r="A59" t="s">
        <v>86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 t="s">
        <v>87</v>
      </c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</row>
    <row r="61" spans="1:28" x14ac:dyDescent="0.2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</row>
    <row r="62" spans="1:28" x14ac:dyDescent="0.2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</row>
    <row r="65" spans="1:28" x14ac:dyDescent="0.2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</row>
    <row r="69" spans="1:28" x14ac:dyDescent="0.2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1:28" x14ac:dyDescent="0.2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1</v>
      </c>
      <c r="AB72">
        <v>0</v>
      </c>
    </row>
    <row r="73" spans="1:28" x14ac:dyDescent="0.2">
      <c r="A73" t="s">
        <v>100</v>
      </c>
      <c r="B73" t="s">
        <v>30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</row>
    <row r="74" spans="1:28" x14ac:dyDescent="0.2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</row>
    <row r="76" spans="1:28" x14ac:dyDescent="0.2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</row>
    <row r="77" spans="1:28" x14ac:dyDescent="0.2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</row>
    <row r="80" spans="1:28" x14ac:dyDescent="0.2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</row>
    <row r="82" spans="1:28" x14ac:dyDescent="0.2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</row>
    <row r="83" spans="1:28" x14ac:dyDescent="0.2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1</v>
      </c>
      <c r="AA83">
        <v>1</v>
      </c>
      <c r="AB83">
        <v>0</v>
      </c>
    </row>
    <row r="84" spans="1:28" x14ac:dyDescent="0.2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</row>
    <row r="85" spans="1:28" x14ac:dyDescent="0.2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</row>
    <row r="86" spans="1:28" x14ac:dyDescent="0.2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</row>
    <row r="88" spans="1:28" x14ac:dyDescent="0.2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</row>
    <row r="89" spans="1:28" x14ac:dyDescent="0.2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</row>
    <row r="91" spans="1:28" x14ac:dyDescent="0.2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0</v>
      </c>
      <c r="X91">
        <v>1</v>
      </c>
      <c r="Y91">
        <v>0</v>
      </c>
      <c r="Z91">
        <v>1</v>
      </c>
      <c r="AA91">
        <v>0</v>
      </c>
      <c r="AB91">
        <v>0</v>
      </c>
    </row>
    <row r="92" spans="1:28" x14ac:dyDescent="0.2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2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0</v>
      </c>
    </row>
    <row r="95" spans="1:28" x14ac:dyDescent="0.2">
      <c r="A95" t="s">
        <v>122</v>
      </c>
      <c r="B95" t="s">
        <v>30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</row>
    <row r="96" spans="1:28" x14ac:dyDescent="0.2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</row>
    <row r="98" spans="1:28" x14ac:dyDescent="0.2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</row>
    <row r="99" spans="1:28" x14ac:dyDescent="0.2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</row>
    <row r="100" spans="1:28" x14ac:dyDescent="0.2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</row>
    <row r="101" spans="1:28" x14ac:dyDescent="0.2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">
      <c r="A103" t="s">
        <v>130</v>
      </c>
      <c r="B103" t="s">
        <v>30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</row>
    <row r="104" spans="1:28" x14ac:dyDescent="0.2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</row>
    <row r="105" spans="1:28" x14ac:dyDescent="0.2">
      <c r="A105" t="s">
        <v>132</v>
      </c>
      <c r="B105" t="s">
        <v>30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</row>
    <row r="106" spans="1:28" x14ac:dyDescent="0.2">
      <c r="A106" t="s">
        <v>133</v>
      </c>
      <c r="B106" t="s">
        <v>30</v>
      </c>
      <c r="C106">
        <v>0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</row>
    <row r="107" spans="1:28" x14ac:dyDescent="0.2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</row>
    <row r="108" spans="1:28" x14ac:dyDescent="0.2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</row>
    <row r="109" spans="1:28" x14ac:dyDescent="0.2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0</v>
      </c>
    </row>
    <row r="111" spans="1:28" x14ac:dyDescent="0.2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</row>
    <row r="116" spans="1:28" x14ac:dyDescent="0.2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 spans="1:28" x14ac:dyDescent="0.2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</row>
    <row r="121" spans="1:28" x14ac:dyDescent="0.2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</row>
    <row r="124" spans="1:28" x14ac:dyDescent="0.2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</row>
    <row r="125" spans="1:28" x14ac:dyDescent="0.2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</row>
    <row r="128" spans="1:28" x14ac:dyDescent="0.2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</row>
    <row r="129" spans="1:28" x14ac:dyDescent="0.2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</row>
    <row r="130" spans="1:28" x14ac:dyDescent="0.2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</row>
    <row r="132" spans="1:28" x14ac:dyDescent="0.2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</row>
    <row r="135" spans="1:28" x14ac:dyDescent="0.2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</row>
    <row r="136" spans="1:28" x14ac:dyDescent="0.2">
      <c r="A136" t="s">
        <v>163</v>
      </c>
      <c r="B136" t="s">
        <v>30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</row>
    <row r="137" spans="1:28" x14ac:dyDescent="0.2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</row>
    <row r="138" spans="1:28" x14ac:dyDescent="0.2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</row>
    <row r="140" spans="1:28" x14ac:dyDescent="0.2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</row>
    <row r="141" spans="1:28" x14ac:dyDescent="0.2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</row>
    <row r="143" spans="1:28" x14ac:dyDescent="0.2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</row>
    <row r="144" spans="1:28" x14ac:dyDescent="0.2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</row>
    <row r="146" spans="1:28" x14ac:dyDescent="0.2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</row>
    <row r="147" spans="1:28" x14ac:dyDescent="0.2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</row>
    <row r="148" spans="1:28" x14ac:dyDescent="0.2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</row>
    <row r="151" spans="1:28" x14ac:dyDescent="0.2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0</v>
      </c>
    </row>
    <row r="152" spans="1:28" x14ac:dyDescent="0.2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0</v>
      </c>
    </row>
    <row r="153" spans="1:28" x14ac:dyDescent="0.2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</row>
    <row r="154" spans="1:28" x14ac:dyDescent="0.2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</row>
    <row r="155" spans="1:28" x14ac:dyDescent="0.2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</row>
    <row r="157" spans="1:28" x14ac:dyDescent="0.2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</row>
    <row r="158" spans="1:28" x14ac:dyDescent="0.2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0</v>
      </c>
    </row>
    <row r="159" spans="1:28" x14ac:dyDescent="0.2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1</v>
      </c>
      <c r="AB159">
        <v>0</v>
      </c>
    </row>
    <row r="160" spans="1:28" x14ac:dyDescent="0.2">
      <c r="A160" t="s">
        <v>187</v>
      </c>
      <c r="B160" t="s">
        <v>30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</row>
    <row r="161" spans="1:28" x14ac:dyDescent="0.2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</row>
    <row r="162" spans="1:28" x14ac:dyDescent="0.2">
      <c r="A162" t="s">
        <v>189</v>
      </c>
      <c r="B162" t="s">
        <v>30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</row>
    <row r="163" spans="1:28" x14ac:dyDescent="0.2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0</v>
      </c>
    </row>
    <row r="164" spans="1:28" x14ac:dyDescent="0.2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1</v>
      </c>
      <c r="AA164">
        <v>1</v>
      </c>
      <c r="AB164">
        <v>0</v>
      </c>
    </row>
    <row r="165" spans="1:28" x14ac:dyDescent="0.2">
      <c r="A165" t="s">
        <v>192</v>
      </c>
      <c r="B165" t="s">
        <v>30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</row>
    <row r="166" spans="1:28" x14ac:dyDescent="0.2">
      <c r="A166" t="s">
        <v>193</v>
      </c>
      <c r="B166" t="s">
        <v>30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</row>
    <row r="167" spans="1:28" x14ac:dyDescent="0.2">
      <c r="A167" t="s">
        <v>194</v>
      </c>
      <c r="B167" t="s">
        <v>30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0</v>
      </c>
    </row>
    <row r="168" spans="1:28" x14ac:dyDescent="0.2">
      <c r="A168" t="s">
        <v>195</v>
      </c>
      <c r="B168" t="s">
        <v>30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0</v>
      </c>
    </row>
    <row r="169" spans="1:28" x14ac:dyDescent="0.2">
      <c r="A169" t="s">
        <v>196</v>
      </c>
      <c r="B169" t="s">
        <v>30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</row>
    <row r="170" spans="1:28" x14ac:dyDescent="0.2">
      <c r="A170" t="s">
        <v>197</v>
      </c>
      <c r="B170" t="s">
        <v>30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</row>
    <row r="171" spans="1:28" x14ac:dyDescent="0.2">
      <c r="A171" t="s">
        <v>198</v>
      </c>
      <c r="B171" t="s">
        <v>30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</row>
    <row r="172" spans="1:28" x14ac:dyDescent="0.2">
      <c r="A172" t="s">
        <v>199</v>
      </c>
      <c r="B172" t="s">
        <v>30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</row>
    <row r="173" spans="1:28" x14ac:dyDescent="0.2">
      <c r="A173" t="s">
        <v>200</v>
      </c>
      <c r="B173" t="s">
        <v>30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</row>
    <row r="174" spans="1:28" x14ac:dyDescent="0.2">
      <c r="A174" t="s">
        <v>201</v>
      </c>
      <c r="B174" t="s">
        <v>30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</row>
    <row r="175" spans="1:28" x14ac:dyDescent="0.2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</row>
    <row r="176" spans="1:28" x14ac:dyDescent="0.2">
      <c r="A176" t="s">
        <v>203</v>
      </c>
      <c r="B176" t="s">
        <v>30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</row>
    <row r="177" spans="1:28" x14ac:dyDescent="0.2">
      <c r="A177" t="s">
        <v>204</v>
      </c>
      <c r="B177" t="s">
        <v>30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</row>
    <row r="178" spans="1:28" x14ac:dyDescent="0.2">
      <c r="A178" t="s">
        <v>205</v>
      </c>
      <c r="B178" t="s">
        <v>30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</row>
    <row r="179" spans="1:28" x14ac:dyDescent="0.2">
      <c r="A179" t="s">
        <v>206</v>
      </c>
      <c r="B179" t="s">
        <v>30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</row>
    <row r="180" spans="1:28" x14ac:dyDescent="0.2">
      <c r="A180" t="s">
        <v>207</v>
      </c>
      <c r="B180" t="s">
        <v>30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</row>
    <row r="181" spans="1:28" x14ac:dyDescent="0.2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</row>
    <row r="182" spans="1:28" x14ac:dyDescent="0.2">
      <c r="A182" t="s">
        <v>209</v>
      </c>
      <c r="B182" t="s">
        <v>30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</row>
    <row r="183" spans="1:28" x14ac:dyDescent="0.2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</row>
    <row r="184" spans="1:28" x14ac:dyDescent="0.2">
      <c r="A184" t="s">
        <v>211</v>
      </c>
      <c r="B184" t="s">
        <v>30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</row>
    <row r="185" spans="1:28" x14ac:dyDescent="0.2">
      <c r="A185" t="s">
        <v>212</v>
      </c>
      <c r="B185" t="s">
        <v>30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</row>
    <row r="186" spans="1:28" x14ac:dyDescent="0.2">
      <c r="A186" t="s">
        <v>213</v>
      </c>
      <c r="B186" t="s">
        <v>30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</row>
    <row r="187" spans="1:28" x14ac:dyDescent="0.2">
      <c r="A187" t="s">
        <v>214</v>
      </c>
      <c r="B187" t="s">
        <v>30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</row>
    <row r="188" spans="1:28" x14ac:dyDescent="0.2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</row>
    <row r="189" spans="1:28" x14ac:dyDescent="0.2">
      <c r="A189" t="s">
        <v>216</v>
      </c>
      <c r="B189" t="s">
        <v>30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</row>
    <row r="190" spans="1:28" x14ac:dyDescent="0.2">
      <c r="A190" t="s">
        <v>217</v>
      </c>
      <c r="B190" t="s">
        <v>30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</row>
    <row r="191" spans="1:28" x14ac:dyDescent="0.2">
      <c r="A191" t="s">
        <v>218</v>
      </c>
      <c r="B191" t="s">
        <v>30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</row>
    <row r="192" spans="1:28" x14ac:dyDescent="0.2">
      <c r="A192" t="s">
        <v>219</v>
      </c>
      <c r="B192" t="s">
        <v>30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</row>
  </sheetData>
  <phoneticPr fontId="13" type="noConversion"/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2AA0-498C-4EC1-BF25-39656B9B0E42}">
  <dimension ref="A1:CC193"/>
  <sheetViews>
    <sheetView tabSelected="1" topLeftCell="B1" zoomScale="130" zoomScaleNormal="130" workbookViewId="0">
      <pane xSplit="3" ySplit="3" topLeftCell="AD162" activePane="bottomRight" state="frozen"/>
      <selection pane="topRight" activeCell="D1" sqref="D1"/>
      <selection pane="bottomLeft" activeCell="B4" sqref="B4"/>
      <selection pane="bottomRight" activeCell="AH194" sqref="AH194"/>
    </sheetView>
  </sheetViews>
  <sheetFormatPr baseColWidth="10" defaultColWidth="8.83203125" defaultRowHeight="15" x14ac:dyDescent="0.2"/>
  <cols>
    <col min="1" max="2" width="4.1640625" style="1" customWidth="1"/>
    <col min="3" max="3" width="8.5" style="2" bestFit="1" customWidth="1"/>
    <col min="4" max="4" width="13.6640625" style="2" customWidth="1"/>
    <col min="5" max="6" width="9.5" style="2" hidden="1" customWidth="1"/>
    <col min="7" max="29" width="0" hidden="1" customWidth="1"/>
    <col min="35" max="35" width="156.33203125" bestFit="1" customWidth="1"/>
    <col min="36" max="36" width="22" style="29" customWidth="1"/>
    <col min="37" max="37" width="22.33203125" style="29" customWidth="1"/>
    <col min="38" max="38" width="23" style="29" customWidth="1"/>
    <col min="39" max="80" width="8.83203125" style="29"/>
  </cols>
  <sheetData>
    <row r="1" spans="1:35" x14ac:dyDescent="0.2">
      <c r="D1" s="20" t="s">
        <v>220</v>
      </c>
      <c r="E1" s="19" t="s">
        <v>221</v>
      </c>
      <c r="F1" s="18" t="s">
        <v>222</v>
      </c>
      <c r="G1" s="51"/>
    </row>
    <row r="2" spans="1:35" x14ac:dyDescent="0.2">
      <c r="C2" s="1">
        <v>1</v>
      </c>
      <c r="D2" s="1">
        <f>+C2+1</f>
        <v>2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24</v>
      </c>
      <c r="AB2" s="1">
        <v>25</v>
      </c>
      <c r="AC2" s="1"/>
      <c r="AD2" s="1"/>
      <c r="AE2" s="1"/>
      <c r="AF2" s="1"/>
      <c r="AG2" s="1"/>
      <c r="AH2" s="1"/>
    </row>
    <row r="3" spans="1:35" x14ac:dyDescent="0.2">
      <c r="A3" s="3" t="s">
        <v>223</v>
      </c>
      <c r="B3" s="3" t="s">
        <v>223</v>
      </c>
      <c r="C3" s="4" t="s">
        <v>26</v>
      </c>
      <c r="D3" s="4" t="s">
        <v>224</v>
      </c>
      <c r="E3" s="4">
        <v>1996</v>
      </c>
      <c r="F3" s="4">
        <v>1997</v>
      </c>
      <c r="G3" s="4">
        <v>1998</v>
      </c>
      <c r="H3" s="4">
        <v>1999</v>
      </c>
      <c r="I3" s="4">
        <v>2000</v>
      </c>
      <c r="J3" s="4">
        <v>2001</v>
      </c>
      <c r="K3" s="4">
        <v>2002</v>
      </c>
      <c r="L3" s="4">
        <v>2003</v>
      </c>
      <c r="M3" s="4">
        <v>2004</v>
      </c>
      <c r="N3" s="4">
        <v>2005</v>
      </c>
      <c r="O3" s="4">
        <v>2006</v>
      </c>
      <c r="P3" s="4">
        <v>2007</v>
      </c>
      <c r="Q3" s="4">
        <v>2008</v>
      </c>
      <c r="R3" s="4">
        <v>2009</v>
      </c>
      <c r="S3" s="4">
        <v>2010</v>
      </c>
      <c r="T3" s="4">
        <v>2011</v>
      </c>
      <c r="U3" s="4">
        <v>2012</v>
      </c>
      <c r="V3" s="4">
        <v>2013</v>
      </c>
      <c r="W3" s="4">
        <v>2014</v>
      </c>
      <c r="X3" s="4">
        <v>2015</v>
      </c>
      <c r="Y3" s="4">
        <v>2016</v>
      </c>
      <c r="Z3" s="16">
        <v>2017</v>
      </c>
      <c r="AA3" s="4">
        <v>2018</v>
      </c>
      <c r="AB3" s="16">
        <v>2019</v>
      </c>
      <c r="AC3" s="4">
        <v>2020</v>
      </c>
      <c r="AD3" s="52">
        <v>2021</v>
      </c>
      <c r="AE3" s="52">
        <v>2022</v>
      </c>
      <c r="AF3" s="52">
        <v>2023</v>
      </c>
      <c r="AG3" s="52">
        <v>2024</v>
      </c>
      <c r="AH3" s="52">
        <v>2025</v>
      </c>
      <c r="AI3" t="s">
        <v>225</v>
      </c>
    </row>
    <row r="4" spans="1:35" x14ac:dyDescent="0.2">
      <c r="A4" s="5">
        <v>1</v>
      </c>
      <c r="B4" s="5">
        <v>1</v>
      </c>
      <c r="C4" s="6" t="s">
        <v>29</v>
      </c>
      <c r="D4" s="7" t="s">
        <v>226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21">
        <v>1</v>
      </c>
      <c r="W4" s="8">
        <v>0</v>
      </c>
      <c r="X4" s="8">
        <v>0</v>
      </c>
      <c r="Y4" s="8">
        <v>0</v>
      </c>
      <c r="Z4" s="17">
        <v>0</v>
      </c>
      <c r="AA4" s="8">
        <v>0</v>
      </c>
      <c r="AB4" s="17">
        <v>0</v>
      </c>
      <c r="AC4" s="8">
        <v>0</v>
      </c>
      <c r="AD4" s="29"/>
      <c r="AE4" s="29">
        <v>0</v>
      </c>
      <c r="AF4" s="29">
        <v>0</v>
      </c>
      <c r="AG4" s="29"/>
      <c r="AH4" s="29"/>
      <c r="AI4" t="str">
        <f>+IF($E4=1,RIGHT(E$3,4)&amp;",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","")&amp;IF($Z4=1,RIGHT(Z$3,4)&amp;", ","")&amp;IF($AA4=1, RIGHT(AA$3,4)&amp;", ", "")&amp;IF($AB4=1, RIGHT(AB$3,4)&amp;", ", "")&amp;IF($AC4=1, RIGHT(AC$3,4)&amp;", ", "")&amp;IF($AD4=1, RIGHT(AD$3,4)&amp;", ", "")&amp;IF($AE4=1, RIGHT(AE$3,4)&amp;", ", "")&amp;IF($AF4=1, RIGHT(AF$3,4)&amp;", ", "")&amp;IF($AG4=1, RIGHT(AG$3,4)&amp;", ", "")&amp;IF($AH4=1, RIGHT(AH$3,4)&amp;", ", "")</f>
        <v xml:space="preserve">2013, </v>
      </c>
    </row>
    <row r="5" spans="1:35" x14ac:dyDescent="0.2">
      <c r="A5" s="5">
        <v>2</v>
      </c>
      <c r="B5" s="5">
        <v>2</v>
      </c>
      <c r="C5" s="9" t="s">
        <v>31</v>
      </c>
      <c r="D5" s="10" t="s">
        <v>227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22">
        <v>1</v>
      </c>
      <c r="S5" s="22">
        <v>1</v>
      </c>
      <c r="T5" s="22">
        <v>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24">
        <v>1</v>
      </c>
      <c r="AC5" s="8">
        <v>0</v>
      </c>
      <c r="AD5" s="29"/>
      <c r="AE5" s="29"/>
      <c r="AF5" s="29"/>
      <c r="AG5" s="29"/>
      <c r="AH5" s="29"/>
      <c r="AI5" t="str">
        <f t="shared" ref="AI5:AI68" si="0">+IF($E5=1,RIGHT(E$3,4)&amp;",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","")&amp;IF($Z5=1,RIGHT(Z$3,4)&amp;", ","")&amp;IF($AA5=1, RIGHT(AA$3,4)&amp;", ", "")&amp;IF($AB5=1, RIGHT(AB$3,4)&amp;", ", "")&amp;IF($AC5=1, RIGHT(AC$3,4)&amp;", ", "")&amp;IF($AD5=1, RIGHT(AD$3,4)&amp;", ", "")&amp;IF($AE5=1, RIGHT(AE$3,4)&amp;", ", "")&amp;IF($AF5=1, RIGHT(AF$3,4)&amp;", ", "")&amp;IF($AG5=1, RIGHT(AG$3,4)&amp;", ", "")&amp;IF($AH5=1, RIGHT(AH$3,4)&amp;", ", "")</f>
        <v xml:space="preserve">2009, 2010, 2011, 2019, </v>
      </c>
    </row>
    <row r="6" spans="1:35" x14ac:dyDescent="0.2">
      <c r="A6" s="5">
        <v>3</v>
      </c>
      <c r="B6" s="5">
        <v>3</v>
      </c>
      <c r="C6" s="6" t="s">
        <v>32</v>
      </c>
      <c r="D6" s="7" t="s">
        <v>228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22">
        <v>1</v>
      </c>
      <c r="Q6" s="22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1">
        <v>1</v>
      </c>
      <c r="X6" s="21">
        <v>1</v>
      </c>
      <c r="Y6" s="21">
        <v>1</v>
      </c>
      <c r="Z6" s="26">
        <v>1</v>
      </c>
      <c r="AA6" s="21">
        <v>1</v>
      </c>
      <c r="AB6" s="25">
        <v>1</v>
      </c>
      <c r="AC6" s="8">
        <v>1</v>
      </c>
      <c r="AD6" s="29"/>
      <c r="AE6" s="29"/>
      <c r="AF6" s="29"/>
      <c r="AG6" s="29"/>
      <c r="AH6" s="29"/>
      <c r="AI6" t="str">
        <f>+IF($E6=1,RIGHT(E$3,4)&amp;", ","")&amp;IF($F6=1,RIGHT(F$3,4)&amp;", ","")&amp;IF($G6=1,RIGHT(G$3,4)&amp;", ","")&amp;IF($H6=1,RIGHT(H$3,4)&amp;", ","")&amp;IF($I6=1,RIGHT(I$3,4)&amp;", ","")&amp;IF($J6=1,RIGHT(J$3,4)&amp;", ","")&amp;IF($K6=1,RIGHT(K$3,4)&amp;", ","")&amp;IF($L6=1,RIGHT(L$3,4)&amp;", ","")&amp;IF($M6=1,RIGHT(M$3,4)&amp;", ","")&amp;IF($N6=1,RIGHT(N$3,4)&amp;", ","")&amp;IF($O6=1,RIGHT(O$3,4)&amp;", ","")&amp;IF($P6=1,RIGHT(P$3,4)&amp;", ","")&amp;IF($Q6=1,RIGHT(Q$3,4)&amp;", ","")&amp;IF($R6=1,RIGHT(R$3,4)&amp;", ","")&amp;IF($S6=1,RIGHT(S$3,4)&amp;", ","")&amp;IF($T6=1,RIGHT(T$3,4)&amp;", ","")&amp;IF($U6=1,RIGHT(U$3,4)&amp;", ","")&amp;IF($V6=1,RIGHT(V$3,4)&amp;", ","")&amp;IF($W6=1,RIGHT(W$3,4)&amp;", ","")&amp;IF($X6=1,RIGHT(X$3,4)&amp;", ","")&amp;IF($Y6=1,RIGHT(Y$3,4)&amp;", ","")&amp;IF($Z6=1,RIGHT(Z$3,4)&amp;", ","")&amp;IF($AA6=1, RIGHT(AA$3,4)&amp;", ", "")&amp;IF($AB6=1, RIGHT(AB$3,4)&amp;", ", "")&amp;IF($AC6=1, RIGHT(AC$3,4)&amp;", ", "")&amp;IF($AD6=1, RIGHT(AD$3,4)&amp;", ", "")&amp;IF($AE6=1, RIGHT(AE$3,4)&amp;", ", "")&amp;IF($AF6=1, RIGHT(AF$3,4)&amp;", ", "")&amp;IF($AG6=1, RIGHT(AG$3,4)&amp;", ", "")&amp;IF($AH6=1, RIGHT(AH$3,4)&amp;", ", "")</f>
        <v xml:space="preserve">2007, 2008, 2009, 2010, 2011, 2012, 2013, 2014, 2015, 2016, 2017, 2018, 2019, 2020, </v>
      </c>
    </row>
    <row r="7" spans="1:35" x14ac:dyDescent="0.2">
      <c r="A7" s="5">
        <v>4</v>
      </c>
      <c r="B7" s="5">
        <v>4</v>
      </c>
      <c r="C7" s="6" t="s">
        <v>33</v>
      </c>
      <c r="D7" s="7" t="s">
        <v>229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21">
        <v>1</v>
      </c>
      <c r="N7" s="21">
        <v>1</v>
      </c>
      <c r="O7" s="21">
        <v>1</v>
      </c>
      <c r="P7" s="21">
        <v>1</v>
      </c>
      <c r="Q7" s="21">
        <v>1</v>
      </c>
      <c r="R7" s="21">
        <v>1</v>
      </c>
      <c r="S7" s="21">
        <v>1</v>
      </c>
      <c r="T7" s="21">
        <v>1</v>
      </c>
      <c r="U7" s="21">
        <v>1</v>
      </c>
      <c r="V7" s="23">
        <v>1</v>
      </c>
      <c r="W7" s="23">
        <v>1</v>
      </c>
      <c r="X7" s="23">
        <v>1</v>
      </c>
      <c r="Y7" s="23">
        <v>1</v>
      </c>
      <c r="Z7" s="21">
        <v>1</v>
      </c>
      <c r="AA7" s="21">
        <v>1</v>
      </c>
      <c r="AB7" s="25">
        <v>1</v>
      </c>
      <c r="AC7" s="8">
        <v>0</v>
      </c>
      <c r="AD7" s="29"/>
      <c r="AE7" s="29"/>
      <c r="AF7" s="29"/>
      <c r="AG7" s="29"/>
      <c r="AH7" s="29"/>
      <c r="AI7" t="str">
        <f t="shared" si="0"/>
        <v xml:space="preserve">2004, 2005, 2006, 2007, 2008, 2009, 2010, 2011, 2012, 2013, 2014, 2015, 2016, 2017, 2018, 2019, </v>
      </c>
    </row>
    <row r="8" spans="1:35" x14ac:dyDescent="0.2">
      <c r="A8" s="5">
        <v>5</v>
      </c>
      <c r="B8" s="5">
        <v>5</v>
      </c>
      <c r="C8" s="6" t="s">
        <v>34</v>
      </c>
      <c r="D8" s="7" t="s">
        <v>230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23">
        <v>1</v>
      </c>
      <c r="P8" s="23">
        <v>1</v>
      </c>
      <c r="Q8" s="23">
        <v>1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23">
        <v>1</v>
      </c>
      <c r="X8" s="23">
        <v>1</v>
      </c>
      <c r="Y8" s="23">
        <v>1</v>
      </c>
      <c r="Z8" s="26">
        <v>1</v>
      </c>
      <c r="AA8" s="21">
        <v>1</v>
      </c>
      <c r="AB8" s="17">
        <v>0</v>
      </c>
      <c r="AC8" s="8">
        <v>0</v>
      </c>
      <c r="AD8" s="29"/>
      <c r="AE8" s="29"/>
      <c r="AF8" s="29"/>
      <c r="AG8" s="29"/>
      <c r="AH8" s="29"/>
      <c r="AI8" t="str">
        <f t="shared" si="0"/>
        <v xml:space="preserve">2006, 2007, 2008, 2014, 2015, 2016, 2017, 2018, </v>
      </c>
    </row>
    <row r="9" spans="1:35" x14ac:dyDescent="0.2">
      <c r="A9" s="5">
        <v>6</v>
      </c>
      <c r="B9" s="5">
        <v>6</v>
      </c>
      <c r="C9" s="9" t="s">
        <v>35</v>
      </c>
      <c r="D9" s="10" t="s">
        <v>231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17">
        <v>0</v>
      </c>
      <c r="AC9" s="8">
        <v>0</v>
      </c>
      <c r="AD9" s="29"/>
      <c r="AE9" s="29"/>
      <c r="AF9" s="29"/>
      <c r="AG9" s="29"/>
      <c r="AH9" s="29"/>
      <c r="AI9" t="str">
        <f t="shared" si="0"/>
        <v/>
      </c>
    </row>
    <row r="10" spans="1:35" x14ac:dyDescent="0.2">
      <c r="A10" s="5">
        <v>7</v>
      </c>
      <c r="B10" s="5">
        <v>7</v>
      </c>
      <c r="C10" s="6" t="s">
        <v>36</v>
      </c>
      <c r="D10" s="7" t="s">
        <v>232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21">
        <v>1</v>
      </c>
      <c r="T10" s="23">
        <v>1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17">
        <v>0</v>
      </c>
      <c r="AC10" s="8">
        <v>0</v>
      </c>
      <c r="AD10" s="29"/>
      <c r="AE10" s="29"/>
      <c r="AF10" s="29"/>
      <c r="AG10" s="29"/>
      <c r="AH10" s="29"/>
      <c r="AI10" t="str">
        <f t="shared" si="0"/>
        <v xml:space="preserve">2010, 2011, </v>
      </c>
    </row>
    <row r="11" spans="1:35" x14ac:dyDescent="0.2">
      <c r="A11" s="5">
        <v>8</v>
      </c>
      <c r="B11" s="5">
        <v>8</v>
      </c>
      <c r="C11" s="6" t="s">
        <v>37</v>
      </c>
      <c r="D11" s="7" t="s">
        <v>233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1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17">
        <v>0</v>
      </c>
      <c r="AA11" s="8">
        <v>0</v>
      </c>
      <c r="AB11" s="17">
        <v>0</v>
      </c>
      <c r="AC11" s="8">
        <v>0</v>
      </c>
      <c r="AD11" s="29"/>
      <c r="AE11" s="29"/>
      <c r="AF11" s="29"/>
      <c r="AG11" s="29"/>
      <c r="AH11" s="29"/>
      <c r="AI11" t="str">
        <f t="shared" si="0"/>
        <v xml:space="preserve">2005, </v>
      </c>
    </row>
    <row r="12" spans="1:35" x14ac:dyDescent="0.2">
      <c r="A12" s="5">
        <v>9</v>
      </c>
      <c r="B12" s="5">
        <v>9</v>
      </c>
      <c r="C12" s="6" t="s">
        <v>38</v>
      </c>
      <c r="D12" s="7" t="s">
        <v>234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21">
        <v>1</v>
      </c>
      <c r="K12" s="8">
        <v>0</v>
      </c>
      <c r="L12" s="8">
        <v>0</v>
      </c>
      <c r="M12" s="8">
        <v>0</v>
      </c>
      <c r="N12" s="8">
        <v>0</v>
      </c>
      <c r="O12" s="42">
        <v>0</v>
      </c>
      <c r="P12" s="42">
        <v>0</v>
      </c>
      <c r="Q12" s="42">
        <v>0</v>
      </c>
      <c r="R12" s="8">
        <v>0</v>
      </c>
      <c r="S12" s="8">
        <v>0</v>
      </c>
      <c r="T12" s="21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22">
        <v>1</v>
      </c>
      <c r="AB12" s="17">
        <v>0</v>
      </c>
      <c r="AC12" s="8">
        <v>0</v>
      </c>
      <c r="AD12" s="29"/>
      <c r="AE12" s="29"/>
      <c r="AF12" s="29"/>
      <c r="AG12" s="29"/>
      <c r="AH12" s="29"/>
      <c r="AI12" t="str">
        <f t="shared" si="0"/>
        <v xml:space="preserve">2001, 2011, 2018, </v>
      </c>
    </row>
    <row r="13" spans="1:35" x14ac:dyDescent="0.2">
      <c r="A13" s="5">
        <v>10</v>
      </c>
      <c r="B13" s="5">
        <v>10</v>
      </c>
      <c r="C13" s="6" t="s">
        <v>39</v>
      </c>
      <c r="D13" s="7" t="s">
        <v>235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42">
        <v>0</v>
      </c>
      <c r="O13" s="23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21">
        <v>1</v>
      </c>
      <c r="AB13" s="17">
        <v>0</v>
      </c>
      <c r="AC13" s="8">
        <v>0</v>
      </c>
      <c r="AD13" s="29"/>
      <c r="AE13" s="29"/>
      <c r="AF13" s="29">
        <v>1</v>
      </c>
      <c r="AG13" s="29"/>
      <c r="AH13" s="29"/>
      <c r="AI13" t="str">
        <f t="shared" si="0"/>
        <v xml:space="preserve">2006, 2018, 2023, </v>
      </c>
    </row>
    <row r="14" spans="1:35" x14ac:dyDescent="0.2">
      <c r="A14" s="5">
        <v>11</v>
      </c>
      <c r="B14" s="5">
        <v>11</v>
      </c>
      <c r="C14" s="6" t="s">
        <v>40</v>
      </c>
      <c r="D14" s="7" t="s">
        <v>236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21">
        <v>1</v>
      </c>
      <c r="K14" s="23">
        <v>1</v>
      </c>
      <c r="L14" s="8">
        <v>0</v>
      </c>
      <c r="M14" s="21">
        <v>1</v>
      </c>
      <c r="N14" s="8">
        <v>0</v>
      </c>
      <c r="O14" s="23">
        <v>1</v>
      </c>
      <c r="P14" s="8">
        <v>0</v>
      </c>
      <c r="Q14" s="8">
        <v>0</v>
      </c>
      <c r="R14" s="21">
        <v>1</v>
      </c>
      <c r="S14" s="23">
        <v>1</v>
      </c>
      <c r="T14" s="8">
        <v>0</v>
      </c>
      <c r="U14" s="8">
        <v>0</v>
      </c>
      <c r="V14" s="23">
        <v>1</v>
      </c>
      <c r="W14" s="8">
        <v>0</v>
      </c>
      <c r="X14" s="23">
        <v>1</v>
      </c>
      <c r="Y14" s="23">
        <v>1</v>
      </c>
      <c r="Z14" s="23">
        <v>1</v>
      </c>
      <c r="AA14" s="8">
        <v>0</v>
      </c>
      <c r="AB14" s="17">
        <v>0</v>
      </c>
      <c r="AC14" s="8">
        <v>0</v>
      </c>
      <c r="AD14" s="29"/>
      <c r="AE14" s="29"/>
      <c r="AF14" s="29"/>
      <c r="AG14" s="29"/>
      <c r="AH14" s="29"/>
      <c r="AI14" t="str">
        <f t="shared" si="0"/>
        <v xml:space="preserve">2001, 2002, 2004, 2006, 2009, 2010, 2013, 2015, 2016, 2017, </v>
      </c>
    </row>
    <row r="15" spans="1:35" x14ac:dyDescent="0.2">
      <c r="A15" s="5">
        <v>12</v>
      </c>
      <c r="B15" s="5">
        <v>12</v>
      </c>
      <c r="C15" s="6" t="s">
        <v>41</v>
      </c>
      <c r="D15" s="7" t="s">
        <v>237</v>
      </c>
      <c r="E15" s="8">
        <v>0</v>
      </c>
      <c r="F15" s="8">
        <v>0</v>
      </c>
      <c r="G15" s="8">
        <v>0</v>
      </c>
      <c r="H15" s="8">
        <v>0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3">
        <v>1</v>
      </c>
      <c r="P15" s="23">
        <v>1</v>
      </c>
      <c r="Q15" s="23">
        <v>1</v>
      </c>
      <c r="R15" s="23">
        <v>1</v>
      </c>
      <c r="S15" s="23">
        <v>1</v>
      </c>
      <c r="T15" s="23">
        <v>1</v>
      </c>
      <c r="U15" s="23">
        <v>1</v>
      </c>
      <c r="V15" s="23">
        <v>1</v>
      </c>
      <c r="W15" s="22">
        <v>1</v>
      </c>
      <c r="X15" s="22">
        <v>1</v>
      </c>
      <c r="Y15" s="22">
        <v>1</v>
      </c>
      <c r="Z15" s="22">
        <v>1</v>
      </c>
      <c r="AA15" s="22">
        <v>1</v>
      </c>
      <c r="AB15" s="24">
        <v>1</v>
      </c>
      <c r="AC15" s="8">
        <v>0</v>
      </c>
      <c r="AD15" s="29"/>
      <c r="AE15" s="29"/>
      <c r="AF15" s="29"/>
      <c r="AG15" s="29"/>
      <c r="AH15" s="29"/>
      <c r="AI15" t="str">
        <f t="shared" si="0"/>
        <v xml:space="preserve">2000, 2001, 2002, 2003, 2004, 2005, 2006, 2007, 2008, 2009, 2010, 2011, 2012, 2013, 2014, 2015, 2016, 2017, 2018, 2019, </v>
      </c>
    </row>
    <row r="16" spans="1:35" x14ac:dyDescent="0.2">
      <c r="A16" s="5">
        <v>13</v>
      </c>
      <c r="B16" s="5">
        <v>13</v>
      </c>
      <c r="C16" s="6" t="s">
        <v>42</v>
      </c>
      <c r="D16" s="7" t="s">
        <v>238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21">
        <v>1</v>
      </c>
      <c r="O16" s="23">
        <v>1</v>
      </c>
      <c r="P16" s="23">
        <v>1</v>
      </c>
      <c r="Q16" s="23">
        <v>1</v>
      </c>
      <c r="R16" s="23">
        <v>1</v>
      </c>
      <c r="S16" s="23">
        <v>1</v>
      </c>
      <c r="T16" s="23">
        <v>1</v>
      </c>
      <c r="U16" s="23">
        <v>1</v>
      </c>
      <c r="V16" s="23">
        <v>1</v>
      </c>
      <c r="W16" s="23">
        <v>1</v>
      </c>
      <c r="X16" s="23">
        <v>1</v>
      </c>
      <c r="Y16" s="23">
        <v>1</v>
      </c>
      <c r="Z16" s="21">
        <v>1</v>
      </c>
      <c r="AA16" s="21">
        <v>1</v>
      </c>
      <c r="AB16" s="25">
        <v>1</v>
      </c>
      <c r="AC16" s="8">
        <v>0</v>
      </c>
      <c r="AD16" s="29"/>
      <c r="AE16" s="29"/>
      <c r="AF16" s="29"/>
      <c r="AG16" s="29"/>
      <c r="AH16" s="29"/>
      <c r="AI16" t="str">
        <f t="shared" si="0"/>
        <v xml:space="preserve">2005, 2006, 2007, 2008, 2009, 2010, 2011, 2012, 2013, 2014, 2015, 2016, 2017, 2018, 2019, </v>
      </c>
    </row>
    <row r="17" spans="1:80" x14ac:dyDescent="0.2">
      <c r="A17" s="5">
        <v>14</v>
      </c>
      <c r="B17" s="5">
        <v>14</v>
      </c>
      <c r="C17" s="13" t="s">
        <v>43</v>
      </c>
      <c r="D17" s="12" t="s">
        <v>239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23">
        <v>1</v>
      </c>
      <c r="Z17" s="26">
        <v>1</v>
      </c>
      <c r="AA17" s="8">
        <v>0</v>
      </c>
      <c r="AB17" s="17">
        <v>0</v>
      </c>
      <c r="AC17" s="8">
        <v>0</v>
      </c>
      <c r="AD17" s="29"/>
      <c r="AE17" s="29"/>
      <c r="AF17" s="29"/>
      <c r="AG17" s="29"/>
      <c r="AH17" s="29"/>
      <c r="AI17" t="str">
        <f t="shared" si="0"/>
        <v xml:space="preserve">2016, 2017, </v>
      </c>
    </row>
    <row r="18" spans="1:80" x14ac:dyDescent="0.2">
      <c r="A18" s="5">
        <v>15</v>
      </c>
      <c r="B18" s="5">
        <v>15</v>
      </c>
      <c r="C18" s="6" t="s">
        <v>44</v>
      </c>
      <c r="D18" s="7" t="s">
        <v>240</v>
      </c>
      <c r="E18" s="23">
        <v>1</v>
      </c>
      <c r="F18" s="23">
        <v>1</v>
      </c>
      <c r="G18" s="23">
        <v>1</v>
      </c>
      <c r="H18" s="23">
        <v>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22">
        <v>1</v>
      </c>
      <c r="Q18" s="8">
        <v>0</v>
      </c>
      <c r="R18" s="8">
        <v>0</v>
      </c>
      <c r="S18" s="8">
        <v>0</v>
      </c>
      <c r="T18" s="8">
        <v>0</v>
      </c>
      <c r="U18" s="22">
        <v>1</v>
      </c>
      <c r="V18" s="21">
        <v>1</v>
      </c>
      <c r="W18" s="21">
        <v>1</v>
      </c>
      <c r="X18" s="21">
        <v>1</v>
      </c>
      <c r="Y18" s="21">
        <v>1</v>
      </c>
      <c r="Z18" s="21">
        <v>1</v>
      </c>
      <c r="AA18" s="43">
        <v>1</v>
      </c>
      <c r="AB18" s="43">
        <v>1</v>
      </c>
      <c r="AC18" s="8">
        <v>0</v>
      </c>
      <c r="AD18" s="29"/>
      <c r="AE18" s="29"/>
      <c r="AF18" s="29"/>
      <c r="AG18" s="29"/>
      <c r="AH18" s="29"/>
      <c r="AI18" t="str">
        <f t="shared" si="0"/>
        <v xml:space="preserve">1996, 1997, 1998, 1999, 2007, 2012, 2013, 2014, 2015, 2016, 2017, 2018, 2019, </v>
      </c>
    </row>
    <row r="19" spans="1:80" x14ac:dyDescent="0.2">
      <c r="A19" s="5">
        <v>16</v>
      </c>
      <c r="B19" s="5">
        <v>16</v>
      </c>
      <c r="C19" s="6" t="s">
        <v>45</v>
      </c>
      <c r="D19" s="7" t="s">
        <v>241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42">
        <v>0</v>
      </c>
      <c r="T19" s="42">
        <v>0</v>
      </c>
      <c r="U19" s="8">
        <v>0</v>
      </c>
      <c r="V19" s="8">
        <v>0</v>
      </c>
      <c r="W19" s="8">
        <v>0</v>
      </c>
      <c r="X19" s="8">
        <v>0</v>
      </c>
      <c r="Y19" s="21">
        <v>1</v>
      </c>
      <c r="Z19" s="21">
        <v>1</v>
      </c>
      <c r="AA19" s="21">
        <v>1</v>
      </c>
      <c r="AB19" s="17">
        <v>0</v>
      </c>
      <c r="AC19" s="8">
        <v>0</v>
      </c>
      <c r="AD19" s="29"/>
      <c r="AE19" s="29"/>
      <c r="AF19" s="29"/>
      <c r="AG19" s="29"/>
      <c r="AH19" s="29"/>
      <c r="AI19" t="str">
        <f t="shared" si="0"/>
        <v xml:space="preserve">2016, 2017, 2018, </v>
      </c>
    </row>
    <row r="20" spans="1:80" x14ac:dyDescent="0.2">
      <c r="A20" s="5">
        <v>17</v>
      </c>
      <c r="B20" s="5">
        <v>17</v>
      </c>
      <c r="C20" s="6" t="s">
        <v>46</v>
      </c>
      <c r="D20" s="7" t="s">
        <v>242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23">
        <v>1</v>
      </c>
      <c r="K20" s="23">
        <v>1</v>
      </c>
      <c r="L20" s="23">
        <v>1</v>
      </c>
      <c r="M20" s="23">
        <v>1</v>
      </c>
      <c r="N20" s="23">
        <v>1</v>
      </c>
      <c r="O20" s="23">
        <v>1</v>
      </c>
      <c r="P20" s="23">
        <v>1</v>
      </c>
      <c r="Q20" s="23">
        <v>1</v>
      </c>
      <c r="R20" s="23">
        <v>1</v>
      </c>
      <c r="S20" s="23">
        <v>1</v>
      </c>
      <c r="T20" s="23">
        <v>1</v>
      </c>
      <c r="U20" s="23">
        <v>1</v>
      </c>
      <c r="V20" s="21">
        <v>1</v>
      </c>
      <c r="W20" s="21">
        <v>1</v>
      </c>
      <c r="X20" s="21">
        <v>1</v>
      </c>
      <c r="Y20" s="23">
        <v>1</v>
      </c>
      <c r="Z20" s="23">
        <v>1</v>
      </c>
      <c r="AA20" s="8">
        <v>0</v>
      </c>
      <c r="AB20" s="17">
        <v>0</v>
      </c>
      <c r="AC20" s="8">
        <v>0</v>
      </c>
      <c r="AD20" s="29"/>
      <c r="AE20" s="29"/>
      <c r="AF20" s="29"/>
      <c r="AG20" s="29"/>
      <c r="AH20" s="29"/>
      <c r="AI20" t="str">
        <f t="shared" si="0"/>
        <v xml:space="preserve">2001, 2002, 2003, 2004, 2005, 2006, 2007, 2008, 2009, 2010, 2011, 2012, 2013, 2014, 2015, 2016, 2017, </v>
      </c>
    </row>
    <row r="21" spans="1:80" s="15" customFormat="1" x14ac:dyDescent="0.2">
      <c r="A21" s="5">
        <v>18</v>
      </c>
      <c r="B21" s="5">
        <v>18</v>
      </c>
      <c r="C21" s="6" t="s">
        <v>47</v>
      </c>
      <c r="D21" s="7" t="s">
        <v>243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21">
        <v>1</v>
      </c>
      <c r="S21" s="23">
        <v>1</v>
      </c>
      <c r="T21" s="23">
        <v>1</v>
      </c>
      <c r="U21" s="23">
        <v>1</v>
      </c>
      <c r="V21" s="8">
        <v>0</v>
      </c>
      <c r="W21" s="8">
        <v>0</v>
      </c>
      <c r="X21" s="8">
        <v>0</v>
      </c>
      <c r="Y21" s="8">
        <v>0</v>
      </c>
      <c r="Z21" s="17">
        <v>0</v>
      </c>
      <c r="AA21" s="22">
        <v>1</v>
      </c>
      <c r="AB21" s="24">
        <v>1</v>
      </c>
      <c r="AC21" s="8">
        <v>0</v>
      </c>
      <c r="AD21" s="29"/>
      <c r="AE21" s="29">
        <v>1</v>
      </c>
      <c r="AF21" s="29"/>
      <c r="AG21" s="29"/>
      <c r="AH21" s="29"/>
      <c r="AI21" t="str">
        <f t="shared" si="0"/>
        <v xml:space="preserve">2009, 2010, 2011, 2012, 2018, 2019, 2022, </v>
      </c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</row>
    <row r="22" spans="1:80" x14ac:dyDescent="0.2">
      <c r="A22" s="5">
        <v>19</v>
      </c>
      <c r="B22" s="5">
        <v>19</v>
      </c>
      <c r="C22" s="9" t="s">
        <v>48</v>
      </c>
      <c r="D22" s="10" t="s">
        <v>244</v>
      </c>
      <c r="E22" s="20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42">
        <v>0</v>
      </c>
      <c r="N22" s="8">
        <v>0</v>
      </c>
      <c r="O22" s="23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17">
        <v>0</v>
      </c>
      <c r="AA22" s="8">
        <v>0</v>
      </c>
      <c r="AB22" s="17">
        <v>0</v>
      </c>
      <c r="AC22" s="8">
        <v>0</v>
      </c>
      <c r="AD22" s="29"/>
      <c r="AE22" s="29"/>
      <c r="AF22" s="29"/>
      <c r="AG22" s="29"/>
      <c r="AH22" s="29"/>
      <c r="AI22" t="str">
        <f t="shared" si="0"/>
        <v xml:space="preserve">1996, 2006, </v>
      </c>
    </row>
    <row r="23" spans="1:80" x14ac:dyDescent="0.2">
      <c r="A23" s="5">
        <v>20</v>
      </c>
      <c r="B23" s="5">
        <v>20</v>
      </c>
      <c r="C23" s="6" t="s">
        <v>49</v>
      </c>
      <c r="D23" s="7" t="s">
        <v>245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17">
        <v>0</v>
      </c>
      <c r="AA23" s="8">
        <v>0</v>
      </c>
      <c r="AB23" s="17">
        <v>0</v>
      </c>
      <c r="AC23" s="8">
        <v>0</v>
      </c>
      <c r="AD23" s="29"/>
      <c r="AE23" s="29"/>
      <c r="AF23" s="29"/>
      <c r="AG23" s="29"/>
      <c r="AH23" s="29"/>
      <c r="AI23" t="str">
        <f t="shared" si="0"/>
        <v/>
      </c>
    </row>
    <row r="24" spans="1:80" x14ac:dyDescent="0.2">
      <c r="A24" s="5">
        <v>21</v>
      </c>
      <c r="B24" s="5">
        <v>21</v>
      </c>
      <c r="C24" s="13" t="s">
        <v>50</v>
      </c>
      <c r="D24" s="12" t="s">
        <v>246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21">
        <v>1</v>
      </c>
      <c r="T24" s="21">
        <v>1</v>
      </c>
      <c r="U24" s="21">
        <v>1</v>
      </c>
      <c r="V24" s="21">
        <v>1</v>
      </c>
      <c r="W24" s="21">
        <v>1</v>
      </c>
      <c r="X24" s="21">
        <v>1</v>
      </c>
      <c r="Y24" s="21">
        <v>1</v>
      </c>
      <c r="Z24" s="21">
        <v>1</v>
      </c>
      <c r="AA24" s="21">
        <v>1</v>
      </c>
      <c r="AB24" s="25">
        <v>1</v>
      </c>
      <c r="AC24" s="8">
        <v>0</v>
      </c>
      <c r="AD24" s="29"/>
      <c r="AE24" s="29"/>
      <c r="AF24" s="29"/>
      <c r="AG24" s="29"/>
      <c r="AH24" s="29"/>
      <c r="AI24" t="str">
        <f t="shared" si="0"/>
        <v xml:space="preserve">2010, 2011, 2012, 2013, 2014, 2015, 2016, 2017, 2018, 2019, </v>
      </c>
    </row>
    <row r="25" spans="1:80" x14ac:dyDescent="0.2">
      <c r="A25" s="5">
        <v>22</v>
      </c>
      <c r="B25" s="5">
        <v>22</v>
      </c>
      <c r="C25" s="14" t="s">
        <v>51</v>
      </c>
      <c r="D25" s="7" t="s">
        <v>247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44">
        <v>1</v>
      </c>
      <c r="T25" s="44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17">
        <v>0</v>
      </c>
      <c r="AA25" s="8">
        <v>0</v>
      </c>
      <c r="AB25" s="17">
        <v>0</v>
      </c>
      <c r="AC25" s="8">
        <v>0</v>
      </c>
      <c r="AD25" s="29"/>
      <c r="AE25" s="29"/>
      <c r="AF25" s="29"/>
      <c r="AG25" s="29"/>
      <c r="AH25" s="29"/>
      <c r="AI25" t="str">
        <f t="shared" si="0"/>
        <v xml:space="preserve">2010, 2011, </v>
      </c>
    </row>
    <row r="26" spans="1:80" x14ac:dyDescent="0.2">
      <c r="A26" s="5">
        <v>23</v>
      </c>
      <c r="B26" s="5">
        <v>23</v>
      </c>
      <c r="C26" s="6" t="s">
        <v>52</v>
      </c>
      <c r="D26" s="7" t="s">
        <v>248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42">
        <v>0</v>
      </c>
      <c r="N26" s="42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21">
        <v>1</v>
      </c>
      <c r="V26" s="21">
        <v>1</v>
      </c>
      <c r="W26" s="8">
        <v>0</v>
      </c>
      <c r="X26" s="8">
        <v>0</v>
      </c>
      <c r="Y26" s="8">
        <v>0</v>
      </c>
      <c r="Z26" s="21">
        <v>1</v>
      </c>
      <c r="AA26" s="8">
        <v>0</v>
      </c>
      <c r="AB26" s="17">
        <v>0</v>
      </c>
      <c r="AC26" s="8">
        <v>0</v>
      </c>
      <c r="AD26" s="29"/>
      <c r="AE26" s="29"/>
      <c r="AF26" s="29"/>
      <c r="AG26" s="29"/>
      <c r="AH26" s="29"/>
      <c r="AI26" t="str">
        <f t="shared" si="0"/>
        <v xml:space="preserve">2012, 2013, 2017, </v>
      </c>
    </row>
    <row r="27" spans="1:80" x14ac:dyDescent="0.2">
      <c r="A27" s="5">
        <v>24</v>
      </c>
      <c r="B27" s="5">
        <v>24</v>
      </c>
      <c r="C27" s="6" t="s">
        <v>53</v>
      </c>
      <c r="D27" s="7" t="s">
        <v>249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23">
        <v>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17">
        <v>0</v>
      </c>
      <c r="AA27" s="8">
        <v>0</v>
      </c>
      <c r="AB27" s="17">
        <v>0</v>
      </c>
      <c r="AC27" s="8">
        <v>0</v>
      </c>
      <c r="AD27" s="29"/>
      <c r="AE27" s="29"/>
      <c r="AF27" s="29"/>
      <c r="AG27" s="29"/>
      <c r="AH27" s="29"/>
      <c r="AI27" t="str">
        <f t="shared" si="0"/>
        <v xml:space="preserve">2010, </v>
      </c>
    </row>
    <row r="28" spans="1:80" x14ac:dyDescent="0.2">
      <c r="A28" s="5">
        <v>25</v>
      </c>
      <c r="B28" s="5">
        <v>25</v>
      </c>
      <c r="C28" s="6" t="s">
        <v>54</v>
      </c>
      <c r="D28" s="7" t="s">
        <v>250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21">
        <v>1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21">
        <v>1</v>
      </c>
      <c r="V28" s="8">
        <v>0</v>
      </c>
      <c r="W28" s="8">
        <v>0</v>
      </c>
      <c r="X28" s="8">
        <v>0</v>
      </c>
      <c r="Y28" s="8">
        <v>0</v>
      </c>
      <c r="Z28" s="17">
        <v>0</v>
      </c>
      <c r="AA28" s="8">
        <v>0</v>
      </c>
      <c r="AB28" s="17">
        <v>0</v>
      </c>
      <c r="AC28" s="8">
        <v>0</v>
      </c>
      <c r="AD28" s="29">
        <v>1</v>
      </c>
      <c r="AE28" s="29"/>
      <c r="AF28" s="29"/>
      <c r="AG28" s="29"/>
      <c r="AH28" s="29"/>
      <c r="AI28" t="str">
        <f t="shared" si="0"/>
        <v xml:space="preserve">2005, 2012, 2021, </v>
      </c>
    </row>
    <row r="29" spans="1:80" s="15" customFormat="1" x14ac:dyDescent="0.2">
      <c r="A29" s="5">
        <v>26</v>
      </c>
      <c r="B29" s="5">
        <v>26</v>
      </c>
      <c r="C29" s="6" t="s">
        <v>55</v>
      </c>
      <c r="D29" s="7" t="s">
        <v>251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17">
        <v>0</v>
      </c>
      <c r="AC29" s="8">
        <v>0</v>
      </c>
      <c r="AD29" s="29"/>
      <c r="AE29" s="29"/>
      <c r="AF29" s="29"/>
      <c r="AG29" s="29"/>
      <c r="AH29" s="29"/>
      <c r="AI29" t="str">
        <f t="shared" si="0"/>
        <v/>
      </c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</row>
    <row r="30" spans="1:80" x14ac:dyDescent="0.2">
      <c r="A30" s="5">
        <v>27</v>
      </c>
      <c r="B30" s="5">
        <v>27</v>
      </c>
      <c r="C30" s="13" t="s">
        <v>56</v>
      </c>
      <c r="D30" s="7" t="s">
        <v>252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21">
        <v>1</v>
      </c>
      <c r="T30" s="21">
        <v>1</v>
      </c>
      <c r="U30" s="21">
        <v>1</v>
      </c>
      <c r="V30" s="21">
        <v>1</v>
      </c>
      <c r="W30" s="21">
        <v>1</v>
      </c>
      <c r="X30" s="21">
        <v>1</v>
      </c>
      <c r="Y30" s="21">
        <v>1</v>
      </c>
      <c r="Z30" s="21">
        <v>1</v>
      </c>
      <c r="AA30" s="21">
        <v>1</v>
      </c>
      <c r="AB30" s="25">
        <v>1</v>
      </c>
      <c r="AC30" s="8">
        <v>0</v>
      </c>
      <c r="AD30" s="29"/>
      <c r="AE30" s="29"/>
      <c r="AF30" s="29"/>
      <c r="AG30" s="29"/>
      <c r="AH30" s="29"/>
      <c r="AI30" t="str">
        <f t="shared" si="0"/>
        <v xml:space="preserve">2010, 2011, 2012, 2013, 2014, 2015, 2016, 2017, 2018, 2019, </v>
      </c>
    </row>
    <row r="31" spans="1:80" x14ac:dyDescent="0.2">
      <c r="A31" s="5">
        <v>28</v>
      </c>
      <c r="B31" s="5">
        <v>28</v>
      </c>
      <c r="C31" s="9" t="s">
        <v>57</v>
      </c>
      <c r="D31" s="10" t="s">
        <v>253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23">
        <v>1</v>
      </c>
      <c r="X31" s="8">
        <v>0</v>
      </c>
      <c r="Y31" s="8">
        <v>0</v>
      </c>
      <c r="Z31" s="17">
        <v>0</v>
      </c>
      <c r="AA31" s="8">
        <v>0</v>
      </c>
      <c r="AB31" s="17">
        <v>0</v>
      </c>
      <c r="AC31" s="8">
        <v>0</v>
      </c>
      <c r="AD31" s="29"/>
      <c r="AE31" s="29"/>
      <c r="AF31" s="29"/>
      <c r="AG31" s="29"/>
      <c r="AH31" s="29"/>
      <c r="AI31" t="str">
        <f t="shared" si="0"/>
        <v xml:space="preserve">2014, </v>
      </c>
    </row>
    <row r="32" spans="1:80" x14ac:dyDescent="0.2">
      <c r="A32" s="5">
        <v>29</v>
      </c>
      <c r="B32" s="5">
        <v>29</v>
      </c>
      <c r="C32" s="9" t="s">
        <v>58</v>
      </c>
      <c r="D32" s="10" t="s">
        <v>254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21">
        <v>1</v>
      </c>
      <c r="S32" s="8">
        <v>0</v>
      </c>
      <c r="T32" s="22">
        <v>1</v>
      </c>
      <c r="U32" s="22">
        <v>1</v>
      </c>
      <c r="V32" s="22">
        <v>1</v>
      </c>
      <c r="W32" s="22">
        <v>1</v>
      </c>
      <c r="X32" s="21">
        <v>1</v>
      </c>
      <c r="Y32" s="22">
        <v>1</v>
      </c>
      <c r="Z32" s="22">
        <v>1</v>
      </c>
      <c r="AA32" s="22">
        <v>1</v>
      </c>
      <c r="AB32" s="24">
        <v>1</v>
      </c>
      <c r="AC32" s="8">
        <v>0</v>
      </c>
      <c r="AD32" s="29"/>
      <c r="AE32" s="29"/>
      <c r="AF32" s="29"/>
      <c r="AG32" s="29"/>
      <c r="AH32" s="29"/>
      <c r="AI32" t="str">
        <f t="shared" si="0"/>
        <v xml:space="preserve">2009, 2011, 2012, 2013, 2014, 2015, 2016, 2017, 2018, 2019, </v>
      </c>
    </row>
    <row r="33" spans="1:80" x14ac:dyDescent="0.2">
      <c r="A33" s="5">
        <v>30</v>
      </c>
      <c r="B33" s="5">
        <v>30</v>
      </c>
      <c r="C33" s="9" t="s">
        <v>59</v>
      </c>
      <c r="D33" s="10" t="s">
        <v>255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23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5">
        <v>1</v>
      </c>
      <c r="AC33" s="22">
        <v>1</v>
      </c>
      <c r="AD33" s="53"/>
      <c r="AE33" s="53"/>
      <c r="AF33" s="53"/>
      <c r="AG33" s="53"/>
      <c r="AH33" s="53"/>
      <c r="AI33" t="str">
        <f t="shared" si="0"/>
        <v xml:space="preserve">2010, 2011, 2012, 2013, 2014, 2015, 2016, 2017, 2018, 2019, 2020, </v>
      </c>
    </row>
    <row r="34" spans="1:80" x14ac:dyDescent="0.2">
      <c r="A34" s="5">
        <v>31</v>
      </c>
      <c r="B34" s="5">
        <v>31</v>
      </c>
      <c r="C34" s="11" t="s">
        <v>60</v>
      </c>
      <c r="D34" s="12" t="s">
        <v>256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17">
        <v>0</v>
      </c>
      <c r="AA34" s="8">
        <v>0</v>
      </c>
      <c r="AB34" s="17">
        <v>0</v>
      </c>
      <c r="AC34" s="8">
        <v>0</v>
      </c>
      <c r="AD34" s="29"/>
      <c r="AE34" s="29"/>
      <c r="AF34" s="29"/>
      <c r="AG34" s="29"/>
      <c r="AH34" s="29"/>
      <c r="AI34" t="str">
        <f t="shared" si="0"/>
        <v/>
      </c>
    </row>
    <row r="35" spans="1:80" x14ac:dyDescent="0.2">
      <c r="A35" s="5">
        <v>32</v>
      </c>
      <c r="B35" s="5">
        <v>32</v>
      </c>
      <c r="C35" s="6" t="s">
        <v>61</v>
      </c>
      <c r="D35" s="7" t="s">
        <v>257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17">
        <v>0</v>
      </c>
      <c r="AC35" s="8">
        <v>0</v>
      </c>
      <c r="AD35" s="29"/>
      <c r="AE35" s="29"/>
      <c r="AF35" s="29"/>
      <c r="AG35" s="29"/>
      <c r="AH35" s="29"/>
      <c r="AI35" t="str">
        <f t="shared" si="0"/>
        <v/>
      </c>
    </row>
    <row r="36" spans="1:80" x14ac:dyDescent="0.2">
      <c r="A36" s="5">
        <v>33</v>
      </c>
      <c r="B36" s="5">
        <v>33</v>
      </c>
      <c r="C36" s="6" t="s">
        <v>62</v>
      </c>
      <c r="D36" s="7" t="s">
        <v>258</v>
      </c>
      <c r="E36" s="8">
        <v>0</v>
      </c>
      <c r="F36" s="8">
        <v>0</v>
      </c>
      <c r="G36" s="8">
        <v>0</v>
      </c>
      <c r="H36" s="8">
        <v>0</v>
      </c>
      <c r="I36" s="21">
        <v>1</v>
      </c>
      <c r="J36" s="21">
        <v>1</v>
      </c>
      <c r="K36" s="21">
        <v>1</v>
      </c>
      <c r="L36" s="21">
        <v>1</v>
      </c>
      <c r="M36" s="21">
        <v>1</v>
      </c>
      <c r="N36" s="21">
        <v>1</v>
      </c>
      <c r="O36" s="21">
        <v>1</v>
      </c>
      <c r="P36" s="21">
        <v>1</v>
      </c>
      <c r="Q36" s="21">
        <v>1</v>
      </c>
      <c r="R36" s="21">
        <v>1</v>
      </c>
      <c r="S36" s="21">
        <v>1</v>
      </c>
      <c r="T36" s="21">
        <v>1</v>
      </c>
      <c r="U36" s="21">
        <v>1</v>
      </c>
      <c r="V36" s="21">
        <v>1</v>
      </c>
      <c r="W36" s="21">
        <v>1</v>
      </c>
      <c r="X36" s="21">
        <v>1</v>
      </c>
      <c r="Y36" s="21">
        <v>1</v>
      </c>
      <c r="Z36" s="21">
        <v>1</v>
      </c>
      <c r="AA36" s="21">
        <v>1</v>
      </c>
      <c r="AB36" s="25">
        <v>1</v>
      </c>
      <c r="AC36" s="8">
        <v>0</v>
      </c>
      <c r="AD36" s="29"/>
      <c r="AE36" s="29"/>
      <c r="AF36" s="29"/>
      <c r="AG36" s="29"/>
      <c r="AH36" s="29"/>
      <c r="AI36" t="str">
        <f t="shared" si="0"/>
        <v xml:space="preserve">2000, 2001, 2002, 2003, 2004, 2005, 2006, 2007, 2008, 2009, 2010, 2011, 2012, 2013, 2014, 2015, 2016, 2017, 2018, 2019, </v>
      </c>
    </row>
    <row r="37" spans="1:80" s="15" customFormat="1" x14ac:dyDescent="0.2">
      <c r="A37" s="5">
        <v>34</v>
      </c>
      <c r="B37" s="5">
        <v>34</v>
      </c>
      <c r="C37" s="6" t="s">
        <v>63</v>
      </c>
      <c r="D37" s="7" t="s">
        <v>259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42">
        <v>0</v>
      </c>
      <c r="V37" s="8">
        <v>0</v>
      </c>
      <c r="W37" s="8">
        <v>0</v>
      </c>
      <c r="X37" s="8">
        <v>0</v>
      </c>
      <c r="Y37" s="8">
        <v>0</v>
      </c>
      <c r="Z37" s="17">
        <v>0</v>
      </c>
      <c r="AA37" s="8">
        <v>0</v>
      </c>
      <c r="AB37" s="17">
        <v>0</v>
      </c>
      <c r="AC37" s="8">
        <v>0</v>
      </c>
      <c r="AD37" s="29"/>
      <c r="AE37" s="29"/>
      <c r="AF37" s="29"/>
      <c r="AG37" s="29"/>
      <c r="AH37" s="29"/>
      <c r="AI37" t="str">
        <f t="shared" si="0"/>
        <v/>
      </c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</row>
    <row r="38" spans="1:80" x14ac:dyDescent="0.2">
      <c r="A38" s="5">
        <v>35</v>
      </c>
      <c r="B38" s="5">
        <v>35</v>
      </c>
      <c r="C38" s="11" t="s">
        <v>64</v>
      </c>
      <c r="D38" s="10" t="s">
        <v>260</v>
      </c>
      <c r="E38" s="8">
        <v>0</v>
      </c>
      <c r="F38" s="8">
        <v>0</v>
      </c>
      <c r="G38" s="8">
        <v>0</v>
      </c>
      <c r="H38" s="42">
        <v>0</v>
      </c>
      <c r="I38" s="21">
        <v>1</v>
      </c>
      <c r="J38" s="21">
        <v>1</v>
      </c>
      <c r="K38" s="22">
        <v>1</v>
      </c>
      <c r="L38" s="21">
        <v>1</v>
      </c>
      <c r="M38" s="21">
        <v>1</v>
      </c>
      <c r="N38" s="21">
        <v>1</v>
      </c>
      <c r="O38" s="21">
        <v>1</v>
      </c>
      <c r="P38" s="21">
        <v>1</v>
      </c>
      <c r="Q38" s="21">
        <v>1</v>
      </c>
      <c r="R38" s="21">
        <v>1</v>
      </c>
      <c r="S38" s="21">
        <v>1</v>
      </c>
      <c r="T38" s="21">
        <v>1</v>
      </c>
      <c r="U38" s="21">
        <v>1</v>
      </c>
      <c r="V38" s="21">
        <v>1</v>
      </c>
      <c r="W38" s="21">
        <v>1</v>
      </c>
      <c r="X38" s="21">
        <v>1</v>
      </c>
      <c r="Y38" s="22">
        <v>1</v>
      </c>
      <c r="Z38" s="23">
        <v>1</v>
      </c>
      <c r="AA38" s="21">
        <v>1</v>
      </c>
      <c r="AB38" s="25">
        <v>1</v>
      </c>
      <c r="AC38" s="8">
        <v>0</v>
      </c>
      <c r="AD38" s="29"/>
      <c r="AE38" s="29"/>
      <c r="AF38" s="29"/>
      <c r="AG38" s="29"/>
      <c r="AH38" s="29"/>
      <c r="AI38" t="str">
        <f t="shared" si="0"/>
        <v xml:space="preserve">2000, 2001, 2002, 2003, 2004, 2005, 2006, 2007, 2008, 2009, 2010, 2011, 2012, 2013, 2014, 2015, 2016, 2017, 2018, 2019, </v>
      </c>
    </row>
    <row r="39" spans="1:80" x14ac:dyDescent="0.2">
      <c r="A39" s="5">
        <v>36</v>
      </c>
      <c r="B39" s="5">
        <v>36</v>
      </c>
      <c r="C39" s="6" t="s">
        <v>65</v>
      </c>
      <c r="D39" s="7" t="s">
        <v>261</v>
      </c>
      <c r="E39" s="8">
        <v>0</v>
      </c>
      <c r="F39" s="8">
        <v>0</v>
      </c>
      <c r="G39" s="23">
        <v>1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44">
        <v>1</v>
      </c>
      <c r="N39" s="8">
        <v>0</v>
      </c>
      <c r="O39" s="23">
        <v>1</v>
      </c>
      <c r="P39" s="8">
        <v>0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17">
        <v>0</v>
      </c>
      <c r="AC39" s="8">
        <v>0</v>
      </c>
      <c r="AD39" s="29"/>
      <c r="AE39" s="29">
        <v>1</v>
      </c>
      <c r="AF39" s="29"/>
      <c r="AG39" s="29"/>
      <c r="AH39" s="29"/>
      <c r="AI39" t="str">
        <f t="shared" si="0"/>
        <v xml:space="preserve">1998, 2004, 2006, 2008, 2009, 2010, 2011, 2012, 2013, 2014, 2015, 2016, 2017, 2018, 2022, </v>
      </c>
    </row>
    <row r="40" spans="1:80" x14ac:dyDescent="0.2">
      <c r="A40" s="5">
        <v>37</v>
      </c>
      <c r="B40" s="5">
        <v>37</v>
      </c>
      <c r="C40" s="6" t="s">
        <v>66</v>
      </c>
      <c r="D40" s="7" t="s">
        <v>262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17">
        <v>0</v>
      </c>
      <c r="AA40" s="8">
        <v>0</v>
      </c>
      <c r="AB40" s="17">
        <v>0</v>
      </c>
      <c r="AC40" s="8">
        <v>0</v>
      </c>
      <c r="AD40" s="29"/>
      <c r="AE40" s="29"/>
      <c r="AF40" s="29"/>
      <c r="AG40" s="29"/>
      <c r="AH40" s="29"/>
      <c r="AI40" t="str">
        <f t="shared" si="0"/>
        <v/>
      </c>
    </row>
    <row r="41" spans="1:80" x14ac:dyDescent="0.2">
      <c r="A41" s="5">
        <v>38</v>
      </c>
      <c r="B41" s="5">
        <v>38</v>
      </c>
      <c r="C41" s="9" t="s">
        <v>67</v>
      </c>
      <c r="D41" s="10" t="s">
        <v>263</v>
      </c>
      <c r="E41" s="8">
        <v>0</v>
      </c>
      <c r="F41" s="8">
        <v>0</v>
      </c>
      <c r="G41" s="42">
        <v>0</v>
      </c>
      <c r="H41" s="21">
        <v>1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23">
        <v>1</v>
      </c>
      <c r="O41" s="42">
        <v>0</v>
      </c>
      <c r="P41" s="8">
        <v>0</v>
      </c>
      <c r="Q41" s="44">
        <v>1</v>
      </c>
      <c r="R41" s="42">
        <v>0</v>
      </c>
      <c r="S41" s="42">
        <v>0</v>
      </c>
      <c r="T41" s="42">
        <v>0</v>
      </c>
      <c r="U41" s="8">
        <v>0</v>
      </c>
      <c r="V41" s="23">
        <v>1</v>
      </c>
      <c r="W41" s="42">
        <v>0</v>
      </c>
      <c r="X41" s="42">
        <v>0</v>
      </c>
      <c r="Y41" s="42">
        <v>0</v>
      </c>
      <c r="Z41" s="17">
        <v>0</v>
      </c>
      <c r="AA41" s="8">
        <v>0</v>
      </c>
      <c r="AB41" s="17">
        <v>0</v>
      </c>
      <c r="AC41" s="8">
        <v>0</v>
      </c>
      <c r="AD41" s="29"/>
      <c r="AE41" s="29"/>
      <c r="AF41" s="29"/>
      <c r="AG41" s="29"/>
      <c r="AH41" s="29"/>
      <c r="AI41" t="str">
        <f t="shared" si="0"/>
        <v xml:space="preserve">1999, 2005, 2008, 2013, </v>
      </c>
    </row>
    <row r="42" spans="1:80" x14ac:dyDescent="0.2">
      <c r="A42" s="5">
        <v>39</v>
      </c>
      <c r="B42" s="5">
        <v>39</v>
      </c>
      <c r="C42" s="6" t="s">
        <v>68</v>
      </c>
      <c r="D42" s="7" t="s">
        <v>264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21">
        <v>1</v>
      </c>
      <c r="N42" s="21">
        <v>1</v>
      </c>
      <c r="O42" s="8">
        <v>0</v>
      </c>
      <c r="P42" s="8">
        <v>0</v>
      </c>
      <c r="Q42" s="8">
        <v>0</v>
      </c>
      <c r="R42" s="8">
        <v>0</v>
      </c>
      <c r="S42" s="21">
        <v>1</v>
      </c>
      <c r="T42" s="21">
        <v>1</v>
      </c>
      <c r="U42" s="8">
        <v>0</v>
      </c>
      <c r="V42" s="8">
        <v>0</v>
      </c>
      <c r="W42" s="8">
        <v>0</v>
      </c>
      <c r="X42" s="21">
        <v>1</v>
      </c>
      <c r="Y42" s="21">
        <v>1</v>
      </c>
      <c r="Z42" s="17">
        <v>0</v>
      </c>
      <c r="AA42" s="8">
        <v>0</v>
      </c>
      <c r="AB42" s="17">
        <v>0</v>
      </c>
      <c r="AC42" s="8">
        <v>0</v>
      </c>
      <c r="AD42" s="29"/>
      <c r="AE42" s="29"/>
      <c r="AF42" s="29"/>
      <c r="AG42" s="29"/>
      <c r="AH42" s="29"/>
      <c r="AI42" t="str">
        <f t="shared" si="0"/>
        <v xml:space="preserve">2004, 2005, 2010, 2011, 2015, 2016, </v>
      </c>
    </row>
    <row r="43" spans="1:80" x14ac:dyDescent="0.2">
      <c r="A43" s="5">
        <v>40</v>
      </c>
      <c r="B43" s="5">
        <v>40</v>
      </c>
      <c r="C43" s="6" t="s">
        <v>69</v>
      </c>
      <c r="D43" s="7" t="s">
        <v>265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17">
        <v>0</v>
      </c>
      <c r="AA43" s="8">
        <v>0</v>
      </c>
      <c r="AB43" s="17">
        <v>0</v>
      </c>
      <c r="AC43" s="8">
        <v>0</v>
      </c>
      <c r="AD43" s="29"/>
      <c r="AE43" s="29"/>
      <c r="AF43" s="29"/>
      <c r="AG43" s="29"/>
      <c r="AH43" s="29"/>
      <c r="AI43" t="str">
        <f t="shared" si="0"/>
        <v/>
      </c>
    </row>
    <row r="44" spans="1:80" x14ac:dyDescent="0.2">
      <c r="A44" s="5">
        <v>41</v>
      </c>
      <c r="B44" s="5">
        <v>41</v>
      </c>
      <c r="C44" s="6" t="s">
        <v>70</v>
      </c>
      <c r="D44" s="7" t="s">
        <v>266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45">
        <v>1</v>
      </c>
      <c r="V44" s="8">
        <v>0</v>
      </c>
      <c r="W44" s="8">
        <v>0</v>
      </c>
      <c r="X44" s="8">
        <v>0</v>
      </c>
      <c r="Y44" s="8">
        <v>0</v>
      </c>
      <c r="Z44" s="17">
        <v>0</v>
      </c>
      <c r="AA44" s="8">
        <v>0</v>
      </c>
      <c r="AB44" s="17">
        <v>0</v>
      </c>
      <c r="AC44" s="8">
        <v>0</v>
      </c>
      <c r="AD44" s="29"/>
      <c r="AE44" s="29"/>
      <c r="AF44" s="29"/>
      <c r="AG44" s="29"/>
      <c r="AH44" s="29"/>
      <c r="AI44" t="str">
        <f t="shared" si="0"/>
        <v xml:space="preserve">2012, </v>
      </c>
    </row>
    <row r="45" spans="1:80" x14ac:dyDescent="0.2">
      <c r="A45" s="5">
        <v>42</v>
      </c>
      <c r="B45" s="5">
        <v>42</v>
      </c>
      <c r="C45" s="6" t="s">
        <v>71</v>
      </c>
      <c r="D45" s="7" t="s">
        <v>267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42">
        <v>0</v>
      </c>
      <c r="O45" s="8">
        <v>0</v>
      </c>
      <c r="P45" s="8">
        <v>0</v>
      </c>
      <c r="Q45" s="8">
        <v>0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5">
        <v>1</v>
      </c>
      <c r="AC45" s="8">
        <v>0</v>
      </c>
      <c r="AD45" s="29"/>
      <c r="AE45" s="29">
        <v>1</v>
      </c>
      <c r="AF45" s="29">
        <v>1</v>
      </c>
      <c r="AG45" s="29"/>
      <c r="AH45" s="29"/>
      <c r="AI45" t="str">
        <f t="shared" si="0"/>
        <v xml:space="preserve">2009, 2010, 2011, 2012, 2013, 2014, 2015, 2016, 2017, 2018, 2019, 2022, 2023, </v>
      </c>
    </row>
    <row r="46" spans="1:80" x14ac:dyDescent="0.2">
      <c r="A46" s="5">
        <v>43</v>
      </c>
      <c r="B46" s="5">
        <v>43</v>
      </c>
      <c r="C46" s="6" t="s">
        <v>72</v>
      </c>
      <c r="D46" s="7" t="s">
        <v>268</v>
      </c>
      <c r="E46" s="8">
        <v>0</v>
      </c>
      <c r="F46" s="8">
        <v>0</v>
      </c>
      <c r="G46" s="8">
        <v>0</v>
      </c>
      <c r="H46" s="8">
        <v>0</v>
      </c>
      <c r="I46" s="42">
        <v>0</v>
      </c>
      <c r="J46" s="42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45">
        <v>1</v>
      </c>
      <c r="V46" s="8">
        <v>0</v>
      </c>
      <c r="W46" s="8">
        <v>0</v>
      </c>
      <c r="X46" s="21">
        <v>1</v>
      </c>
      <c r="Y46" s="8">
        <v>0</v>
      </c>
      <c r="Z46" s="17">
        <v>0</v>
      </c>
      <c r="AA46" s="8">
        <v>0</v>
      </c>
      <c r="AB46" s="17">
        <v>0</v>
      </c>
      <c r="AC46" s="8">
        <v>0</v>
      </c>
      <c r="AD46" s="29"/>
      <c r="AE46" s="29"/>
      <c r="AF46" s="29"/>
      <c r="AG46" s="29"/>
      <c r="AH46" s="29"/>
      <c r="AI46" t="str">
        <f t="shared" si="0"/>
        <v xml:space="preserve">2012, 2015, </v>
      </c>
    </row>
    <row r="47" spans="1:80" x14ac:dyDescent="0.2">
      <c r="A47" s="5">
        <v>44</v>
      </c>
      <c r="B47" s="5">
        <v>44</v>
      </c>
      <c r="C47" s="6" t="s">
        <v>73</v>
      </c>
      <c r="D47" s="7" t="s">
        <v>269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17">
        <v>0</v>
      </c>
      <c r="AA47" s="8">
        <v>0</v>
      </c>
      <c r="AB47" s="17">
        <v>0</v>
      </c>
      <c r="AC47" s="8">
        <v>0</v>
      </c>
      <c r="AD47" s="29"/>
      <c r="AE47" s="29"/>
      <c r="AF47" s="29"/>
      <c r="AG47" s="29"/>
      <c r="AH47" s="29"/>
      <c r="AI47" t="str">
        <f t="shared" si="0"/>
        <v/>
      </c>
    </row>
    <row r="48" spans="1:80" x14ac:dyDescent="0.2">
      <c r="A48" s="5">
        <v>45</v>
      </c>
      <c r="B48" s="5">
        <v>45</v>
      </c>
      <c r="C48" s="6" t="s">
        <v>74</v>
      </c>
      <c r="D48" s="7" t="s">
        <v>270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21">
        <v>1</v>
      </c>
      <c r="V48" s="8">
        <v>0</v>
      </c>
      <c r="W48" s="8">
        <v>0</v>
      </c>
      <c r="X48" s="8">
        <v>0</v>
      </c>
      <c r="Y48" s="8">
        <v>0</v>
      </c>
      <c r="Z48" s="17">
        <v>0</v>
      </c>
      <c r="AA48" s="21">
        <v>1</v>
      </c>
      <c r="AB48" s="17">
        <v>0</v>
      </c>
      <c r="AC48" s="8">
        <v>0</v>
      </c>
      <c r="AD48" s="29"/>
      <c r="AE48" s="29"/>
      <c r="AF48" s="29"/>
      <c r="AG48" s="29"/>
      <c r="AH48" s="29"/>
      <c r="AI48" t="str">
        <f t="shared" si="0"/>
        <v xml:space="preserve">2012, 2018, </v>
      </c>
    </row>
    <row r="49" spans="1:35" x14ac:dyDescent="0.2">
      <c r="A49" s="5">
        <v>46</v>
      </c>
      <c r="B49" s="5">
        <v>46</v>
      </c>
      <c r="C49" s="6" t="s">
        <v>75</v>
      </c>
      <c r="D49" s="7" t="s">
        <v>271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17">
        <v>0</v>
      </c>
      <c r="AA49" s="8">
        <v>0</v>
      </c>
      <c r="AB49" s="17">
        <v>0</v>
      </c>
      <c r="AC49" s="8">
        <v>0</v>
      </c>
      <c r="AD49" s="29"/>
      <c r="AE49" s="29"/>
      <c r="AF49" s="29"/>
      <c r="AG49" s="29"/>
      <c r="AH49" s="29"/>
      <c r="AI49" t="str">
        <f t="shared" si="0"/>
        <v/>
      </c>
    </row>
    <row r="50" spans="1:35" x14ac:dyDescent="0.2">
      <c r="A50" s="5">
        <v>47</v>
      </c>
      <c r="B50" s="5">
        <v>47</v>
      </c>
      <c r="C50" s="6" t="s">
        <v>76</v>
      </c>
      <c r="D50" s="7" t="s">
        <v>272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17">
        <v>0</v>
      </c>
      <c r="AA50" s="8">
        <v>0</v>
      </c>
      <c r="AB50" s="17">
        <v>0</v>
      </c>
      <c r="AC50" s="8">
        <v>0</v>
      </c>
      <c r="AD50" s="29"/>
      <c r="AE50" s="29"/>
      <c r="AF50" s="29"/>
      <c r="AG50" s="29"/>
      <c r="AH50" s="29"/>
      <c r="AI50" t="str">
        <f t="shared" si="0"/>
        <v/>
      </c>
    </row>
    <row r="51" spans="1:35" x14ac:dyDescent="0.2">
      <c r="A51" s="5">
        <v>48</v>
      </c>
      <c r="B51" s="5">
        <v>48</v>
      </c>
      <c r="C51" s="11" t="s">
        <v>77</v>
      </c>
      <c r="D51" s="12" t="s">
        <v>273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17">
        <v>0</v>
      </c>
      <c r="AC51" s="8">
        <v>0</v>
      </c>
      <c r="AD51" s="29"/>
      <c r="AE51" s="29"/>
      <c r="AF51" s="29"/>
      <c r="AG51" s="29"/>
      <c r="AH51" s="29"/>
      <c r="AI51" t="str">
        <f t="shared" si="0"/>
        <v/>
      </c>
    </row>
    <row r="52" spans="1:35" x14ac:dyDescent="0.2">
      <c r="A52" s="5">
        <v>49</v>
      </c>
      <c r="B52" s="5">
        <v>49</v>
      </c>
      <c r="C52" s="6" t="s">
        <v>78</v>
      </c>
      <c r="D52" s="7" t="s">
        <v>274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42">
        <v>0</v>
      </c>
      <c r="L52" s="21">
        <v>1</v>
      </c>
      <c r="M52" s="21">
        <v>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21">
        <v>1</v>
      </c>
      <c r="T52" s="21">
        <v>1</v>
      </c>
      <c r="U52" s="21">
        <v>1</v>
      </c>
      <c r="V52" s="21">
        <v>1</v>
      </c>
      <c r="W52" s="21">
        <v>1</v>
      </c>
      <c r="X52" s="21">
        <v>1</v>
      </c>
      <c r="Y52" s="21">
        <v>1</v>
      </c>
      <c r="Z52" s="21">
        <v>1</v>
      </c>
      <c r="AA52" s="22">
        <v>1</v>
      </c>
      <c r="AB52" s="24">
        <v>1</v>
      </c>
      <c r="AC52" s="8">
        <v>0</v>
      </c>
      <c r="AD52" s="29"/>
      <c r="AE52" s="29"/>
      <c r="AF52" s="29"/>
      <c r="AG52" s="29"/>
      <c r="AH52" s="29"/>
      <c r="AI52" t="str">
        <f t="shared" si="0"/>
        <v xml:space="preserve">2003, 2004, 2010, 2011, 2012, 2013, 2014, 2015, 2016, 2017, 2018, 2019, </v>
      </c>
    </row>
    <row r="53" spans="1:35" x14ac:dyDescent="0.2">
      <c r="A53" s="5">
        <v>50</v>
      </c>
      <c r="B53" s="5">
        <v>50</v>
      </c>
      <c r="C53" s="6" t="s">
        <v>79</v>
      </c>
      <c r="D53" s="7" t="s">
        <v>275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21">
        <v>1</v>
      </c>
      <c r="AA53" s="21">
        <v>1</v>
      </c>
      <c r="AB53" s="24">
        <v>1</v>
      </c>
      <c r="AC53" s="8">
        <v>0</v>
      </c>
      <c r="AD53" s="29"/>
      <c r="AE53" s="29"/>
      <c r="AF53" s="29"/>
      <c r="AG53" s="29"/>
      <c r="AH53" s="29"/>
      <c r="AI53" t="str">
        <f t="shared" si="0"/>
        <v xml:space="preserve">2017, 2018, 2019, </v>
      </c>
    </row>
    <row r="54" spans="1:35" x14ac:dyDescent="0.2">
      <c r="A54" s="5">
        <v>51</v>
      </c>
      <c r="B54" s="5">
        <v>51</v>
      </c>
      <c r="C54" s="6" t="s">
        <v>80</v>
      </c>
      <c r="D54" s="7" t="s">
        <v>276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21">
        <v>1</v>
      </c>
      <c r="K54" s="21">
        <v>1</v>
      </c>
      <c r="L54" s="8">
        <v>0</v>
      </c>
      <c r="M54" s="8">
        <v>0</v>
      </c>
      <c r="N54" s="8">
        <v>0</v>
      </c>
      <c r="O54" s="21">
        <v>1</v>
      </c>
      <c r="P54" s="21">
        <v>1</v>
      </c>
      <c r="Q54" s="21">
        <v>1</v>
      </c>
      <c r="R54" s="21">
        <v>1</v>
      </c>
      <c r="S54" s="21">
        <v>1</v>
      </c>
      <c r="T54" s="21">
        <v>1</v>
      </c>
      <c r="U54" s="21">
        <v>1</v>
      </c>
      <c r="V54" s="21">
        <v>1</v>
      </c>
      <c r="W54" s="21">
        <v>1</v>
      </c>
      <c r="X54" s="21">
        <v>1</v>
      </c>
      <c r="Y54" s="21">
        <v>1</v>
      </c>
      <c r="Z54" s="21">
        <v>1</v>
      </c>
      <c r="AA54" s="21">
        <v>1</v>
      </c>
      <c r="AB54" s="25">
        <v>1</v>
      </c>
      <c r="AC54" s="21">
        <v>1</v>
      </c>
      <c r="AD54" s="21">
        <v>1</v>
      </c>
      <c r="AE54" s="25">
        <v>1</v>
      </c>
      <c r="AF54" s="29"/>
      <c r="AG54" s="29"/>
      <c r="AH54" s="29"/>
      <c r="AI54" t="str">
        <f t="shared" si="0"/>
        <v xml:space="preserve">2001, 2002, 2006, 2007, 2008, 2009, 2010, 2011, 2012, 2013, 2014, 2015, 2016, 2017, 2018, 2019, 2020, 2021, 2022, </v>
      </c>
    </row>
    <row r="55" spans="1:35" x14ac:dyDescent="0.2">
      <c r="A55" s="5">
        <v>52</v>
      </c>
      <c r="B55" s="5">
        <v>52</v>
      </c>
      <c r="C55" s="6" t="s">
        <v>81</v>
      </c>
      <c r="D55" s="7" t="s">
        <v>277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22">
        <v>1</v>
      </c>
      <c r="L55" s="23">
        <v>1</v>
      </c>
      <c r="M55" s="23">
        <v>1</v>
      </c>
      <c r="N55" s="23">
        <v>1</v>
      </c>
      <c r="O55" s="23">
        <v>1</v>
      </c>
      <c r="P55" s="23">
        <v>1</v>
      </c>
      <c r="Q55" s="23">
        <v>1</v>
      </c>
      <c r="R55" s="23">
        <v>1</v>
      </c>
      <c r="S55" s="23">
        <v>1</v>
      </c>
      <c r="T55" s="23">
        <v>1</v>
      </c>
      <c r="U55" s="23">
        <v>1</v>
      </c>
      <c r="V55" s="23">
        <v>1</v>
      </c>
      <c r="W55" s="22">
        <v>1</v>
      </c>
      <c r="X55" s="22">
        <v>1</v>
      </c>
      <c r="Y55" s="22">
        <v>1</v>
      </c>
      <c r="Z55" s="22">
        <v>1</v>
      </c>
      <c r="AA55" s="22">
        <v>1</v>
      </c>
      <c r="AB55" s="17">
        <v>0</v>
      </c>
      <c r="AC55" s="8">
        <v>0</v>
      </c>
      <c r="AD55" s="29"/>
      <c r="AE55" s="29"/>
      <c r="AF55" s="29"/>
      <c r="AG55" s="29"/>
      <c r="AH55" s="29"/>
      <c r="AI55" t="str">
        <f t="shared" si="0"/>
        <v xml:space="preserve">2002, 2003, 2004, 2005, 2006, 2007, 2008, 2009, 2010, 2011, 2012, 2013, 2014, 2015, 2016, 2017, 2018, </v>
      </c>
    </row>
    <row r="56" spans="1:35" x14ac:dyDescent="0.2">
      <c r="A56" s="5">
        <v>53</v>
      </c>
      <c r="B56" s="5">
        <v>53</v>
      </c>
      <c r="C56" s="6" t="s">
        <v>82</v>
      </c>
      <c r="D56" s="7" t="s">
        <v>278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17">
        <v>0</v>
      </c>
      <c r="AA56" s="8">
        <v>0</v>
      </c>
      <c r="AB56" s="17">
        <v>0</v>
      </c>
      <c r="AC56" s="8">
        <v>0</v>
      </c>
      <c r="AD56" s="29"/>
      <c r="AE56" s="29"/>
      <c r="AF56" s="29"/>
      <c r="AG56" s="29"/>
      <c r="AH56" s="29"/>
      <c r="AI56" t="str">
        <f t="shared" si="0"/>
        <v/>
      </c>
    </row>
    <row r="57" spans="1:35" x14ac:dyDescent="0.2">
      <c r="A57" s="5">
        <v>54</v>
      </c>
      <c r="B57" s="5">
        <v>54</v>
      </c>
      <c r="C57" s="6" t="s">
        <v>83</v>
      </c>
      <c r="D57" s="7" t="s">
        <v>279</v>
      </c>
      <c r="E57" s="21">
        <v>1</v>
      </c>
      <c r="F57" s="21">
        <v>1</v>
      </c>
      <c r="G57" s="21">
        <v>1</v>
      </c>
      <c r="H57" s="21">
        <v>1</v>
      </c>
      <c r="I57" s="21">
        <v>1</v>
      </c>
      <c r="J57" s="21">
        <v>1</v>
      </c>
      <c r="K57" s="21">
        <v>1</v>
      </c>
      <c r="L57" s="21">
        <v>1</v>
      </c>
      <c r="M57" s="21">
        <v>1</v>
      </c>
      <c r="N57" s="21">
        <v>1</v>
      </c>
      <c r="O57" s="21">
        <v>1</v>
      </c>
      <c r="P57" s="21">
        <v>1</v>
      </c>
      <c r="Q57" s="21">
        <v>1</v>
      </c>
      <c r="R57" s="21">
        <v>1</v>
      </c>
      <c r="S57" s="21">
        <v>1</v>
      </c>
      <c r="T57" s="21">
        <v>1</v>
      </c>
      <c r="U57" s="21">
        <v>1</v>
      </c>
      <c r="V57" s="21">
        <v>1</v>
      </c>
      <c r="W57" s="21">
        <v>1</v>
      </c>
      <c r="X57" s="21">
        <v>1</v>
      </c>
      <c r="Y57" s="21">
        <v>1</v>
      </c>
      <c r="Z57" s="21">
        <v>1</v>
      </c>
      <c r="AA57" s="21">
        <v>1</v>
      </c>
      <c r="AB57" s="25">
        <v>1</v>
      </c>
      <c r="AC57" s="8">
        <v>0</v>
      </c>
      <c r="AD57" s="29"/>
      <c r="AE57" s="29"/>
      <c r="AF57" s="29"/>
      <c r="AG57" s="29"/>
      <c r="AH57" s="29"/>
      <c r="AI57" t="str">
        <f t="shared" si="0"/>
        <v xml:space="preserve">1996, 1997, 1998, 1999, 2000, 2001, 2002, 2003, 2004, 2005, 2006, 2007, 2008, 2009, 2010, 2011, 2012, 2013, 2014, 2015, 2016, 2017, 2018, 2019, </v>
      </c>
    </row>
    <row r="58" spans="1:35" x14ac:dyDescent="0.2">
      <c r="A58" s="5">
        <v>55</v>
      </c>
      <c r="B58" s="5">
        <v>55</v>
      </c>
      <c r="C58" s="9" t="s">
        <v>84</v>
      </c>
      <c r="D58" s="10" t="s">
        <v>280</v>
      </c>
      <c r="E58" s="8">
        <v>0</v>
      </c>
      <c r="F58" s="8">
        <v>0</v>
      </c>
      <c r="G58" s="8">
        <v>0</v>
      </c>
      <c r="H58" s="8">
        <v>0</v>
      </c>
      <c r="I58" s="21">
        <v>1</v>
      </c>
      <c r="J58" s="8">
        <v>0</v>
      </c>
      <c r="K58" s="8">
        <v>0</v>
      </c>
      <c r="L58" s="42">
        <v>0</v>
      </c>
      <c r="M58" s="21">
        <v>1</v>
      </c>
      <c r="N58" s="21">
        <v>1</v>
      </c>
      <c r="O58" s="21">
        <v>1</v>
      </c>
      <c r="P58" s="21">
        <v>1</v>
      </c>
      <c r="Q58" s="42">
        <v>0</v>
      </c>
      <c r="R58" s="21">
        <v>1</v>
      </c>
      <c r="S58" s="42">
        <v>0</v>
      </c>
      <c r="T58" s="21">
        <v>1</v>
      </c>
      <c r="U58" s="42">
        <v>0</v>
      </c>
      <c r="V58" s="8">
        <v>0</v>
      </c>
      <c r="W58" s="8">
        <v>0</v>
      </c>
      <c r="X58" s="8">
        <v>0</v>
      </c>
      <c r="Y58" s="8">
        <v>0</v>
      </c>
      <c r="Z58" s="17">
        <v>0</v>
      </c>
      <c r="AA58" s="21">
        <v>1</v>
      </c>
      <c r="AB58" s="17">
        <v>0</v>
      </c>
      <c r="AC58" s="8">
        <v>0</v>
      </c>
      <c r="AD58" s="29"/>
      <c r="AE58" s="29"/>
      <c r="AF58" s="29"/>
      <c r="AG58" s="29"/>
      <c r="AH58" s="29"/>
      <c r="AI58" t="str">
        <f t="shared" si="0"/>
        <v xml:space="preserve">2000, 2004, 2005, 2006, 2007, 2009, 2011, 2018, </v>
      </c>
    </row>
    <row r="59" spans="1:35" x14ac:dyDescent="0.2">
      <c r="A59" s="5">
        <v>56</v>
      </c>
      <c r="B59" s="5">
        <v>56</v>
      </c>
      <c r="C59" s="9" t="s">
        <v>85</v>
      </c>
      <c r="D59" s="10" t="s">
        <v>281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42">
        <v>0</v>
      </c>
      <c r="S59" s="22">
        <v>1</v>
      </c>
      <c r="T59" s="22">
        <v>1</v>
      </c>
      <c r="U59" s="22">
        <v>1</v>
      </c>
      <c r="V59" s="22">
        <v>1</v>
      </c>
      <c r="W59" s="22">
        <v>1</v>
      </c>
      <c r="X59" s="22">
        <v>1</v>
      </c>
      <c r="Y59" s="21">
        <v>1</v>
      </c>
      <c r="Z59" s="25">
        <v>1</v>
      </c>
      <c r="AA59" s="25">
        <v>1</v>
      </c>
      <c r="AB59" s="17">
        <v>0</v>
      </c>
      <c r="AC59" s="8">
        <v>0</v>
      </c>
      <c r="AD59" s="29"/>
      <c r="AE59" s="29"/>
      <c r="AF59" s="29"/>
      <c r="AG59" s="29"/>
      <c r="AH59" s="29"/>
      <c r="AI59" t="str">
        <f t="shared" si="0"/>
        <v xml:space="preserve">2010, 2011, 2012, 2013, 2014, 2015, 2016, 2017, 2018, </v>
      </c>
    </row>
    <row r="60" spans="1:35" x14ac:dyDescent="0.2">
      <c r="A60" s="5">
        <v>57</v>
      </c>
      <c r="B60" s="5">
        <v>57</v>
      </c>
      <c r="C60" s="6" t="s">
        <v>86</v>
      </c>
      <c r="D60" s="7" t="s">
        <v>282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17">
        <v>0</v>
      </c>
      <c r="AA60" s="8">
        <v>0</v>
      </c>
      <c r="AB60" s="17">
        <v>0</v>
      </c>
      <c r="AC60" s="8">
        <v>0</v>
      </c>
      <c r="AD60" s="29"/>
      <c r="AE60" s="29"/>
      <c r="AF60" s="29"/>
      <c r="AG60" s="29"/>
      <c r="AH60" s="29"/>
      <c r="AI60" t="str">
        <f t="shared" si="0"/>
        <v/>
      </c>
    </row>
    <row r="61" spans="1:35" x14ac:dyDescent="0.2">
      <c r="A61" s="5">
        <v>58</v>
      </c>
      <c r="B61" s="5">
        <v>58</v>
      </c>
      <c r="C61" s="6" t="s">
        <v>87</v>
      </c>
      <c r="D61" s="7" t="s">
        <v>283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42">
        <v>0</v>
      </c>
      <c r="M61" s="21">
        <v>1</v>
      </c>
      <c r="N61" s="21">
        <v>1</v>
      </c>
      <c r="O61" s="21">
        <v>1</v>
      </c>
      <c r="P61" s="21">
        <v>1</v>
      </c>
      <c r="Q61" s="21">
        <v>1</v>
      </c>
      <c r="R61" s="21">
        <v>1</v>
      </c>
      <c r="S61" s="8">
        <v>0</v>
      </c>
      <c r="T61" s="8">
        <v>0</v>
      </c>
      <c r="U61" s="8">
        <v>0</v>
      </c>
      <c r="V61" s="22">
        <v>1</v>
      </c>
      <c r="W61" s="22">
        <v>1</v>
      </c>
      <c r="X61" s="22">
        <v>1</v>
      </c>
      <c r="Y61" s="22">
        <v>1</v>
      </c>
      <c r="Z61" s="22">
        <v>1</v>
      </c>
      <c r="AA61" s="22">
        <v>1</v>
      </c>
      <c r="AB61" s="24">
        <v>1</v>
      </c>
      <c r="AC61" s="22">
        <v>1</v>
      </c>
      <c r="AD61" s="53"/>
      <c r="AE61" s="53"/>
      <c r="AF61" s="53"/>
      <c r="AG61" s="53"/>
      <c r="AH61" s="53"/>
      <c r="AI61" t="str">
        <f t="shared" si="0"/>
        <v xml:space="preserve">2004, 2005, 2006, 2007, 2008, 2009, 2013, 2014, 2015, 2016, 2017, 2018, 2019, 2020, </v>
      </c>
    </row>
    <row r="62" spans="1:35" x14ac:dyDescent="0.2">
      <c r="A62" s="5">
        <v>59</v>
      </c>
      <c r="B62" s="5">
        <v>59</v>
      </c>
      <c r="C62" s="6" t="s">
        <v>88</v>
      </c>
      <c r="D62" s="7" t="s">
        <v>284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23">
        <v>1</v>
      </c>
      <c r="Q62" s="23">
        <v>1</v>
      </c>
      <c r="R62" s="23">
        <v>1</v>
      </c>
      <c r="S62" s="23">
        <v>1</v>
      </c>
      <c r="T62" s="23">
        <v>1</v>
      </c>
      <c r="U62" s="23">
        <v>1</v>
      </c>
      <c r="V62" s="23">
        <v>1</v>
      </c>
      <c r="W62" s="23">
        <v>1</v>
      </c>
      <c r="X62" s="22">
        <v>1</v>
      </c>
      <c r="Y62" s="22">
        <v>1</v>
      </c>
      <c r="Z62" s="22">
        <v>1</v>
      </c>
      <c r="AA62" s="8">
        <v>0</v>
      </c>
      <c r="AB62" s="17">
        <v>0</v>
      </c>
      <c r="AC62" s="8">
        <v>0</v>
      </c>
      <c r="AD62" s="29"/>
      <c r="AE62" s="29"/>
      <c r="AF62" s="29"/>
      <c r="AG62" s="29"/>
      <c r="AH62" s="29"/>
      <c r="AI62" t="str">
        <f t="shared" si="0"/>
        <v xml:space="preserve">2007, 2008, 2009, 2010, 2011, 2012, 2013, 2014, 2015, 2016, 2017, </v>
      </c>
    </row>
    <row r="63" spans="1:35" x14ac:dyDescent="0.2">
      <c r="A63" s="5">
        <v>60</v>
      </c>
      <c r="B63" s="5">
        <v>60</v>
      </c>
      <c r="C63" s="6" t="s">
        <v>89</v>
      </c>
      <c r="D63" s="7" t="s">
        <v>285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42">
        <v>0</v>
      </c>
      <c r="Q63" s="23">
        <v>1</v>
      </c>
      <c r="R63" s="23">
        <v>1</v>
      </c>
      <c r="S63" s="23">
        <v>1</v>
      </c>
      <c r="T63" s="23">
        <v>1</v>
      </c>
      <c r="U63" s="23">
        <v>1</v>
      </c>
      <c r="V63" s="23">
        <v>1</v>
      </c>
      <c r="W63" s="8">
        <v>0</v>
      </c>
      <c r="X63" s="8">
        <v>0</v>
      </c>
      <c r="Y63" s="8">
        <v>0</v>
      </c>
      <c r="Z63" s="17">
        <v>0</v>
      </c>
      <c r="AA63" s="8">
        <v>0</v>
      </c>
      <c r="AB63" s="17">
        <v>0</v>
      </c>
      <c r="AC63" s="8">
        <v>0</v>
      </c>
      <c r="AD63" s="29"/>
      <c r="AE63" s="29"/>
      <c r="AF63" s="29"/>
      <c r="AG63" s="29"/>
      <c r="AH63" s="29"/>
      <c r="AI63" t="str">
        <f t="shared" si="0"/>
        <v xml:space="preserve">2008, 2009, 2010, 2011, 2012, 2013, </v>
      </c>
    </row>
    <row r="64" spans="1:35" x14ac:dyDescent="0.2">
      <c r="A64" s="5">
        <v>61</v>
      </c>
      <c r="B64" s="5">
        <v>61</v>
      </c>
      <c r="C64" s="6" t="s">
        <v>90</v>
      </c>
      <c r="D64" s="7" t="s">
        <v>286</v>
      </c>
      <c r="E64" s="8">
        <v>0</v>
      </c>
      <c r="F64" s="8">
        <v>0</v>
      </c>
      <c r="G64" s="8">
        <v>0</v>
      </c>
      <c r="H64" s="21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42">
        <v>0</v>
      </c>
      <c r="T64" s="42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17">
        <v>0</v>
      </c>
      <c r="AA64" s="8">
        <v>0</v>
      </c>
      <c r="AB64" s="17">
        <v>0</v>
      </c>
      <c r="AC64" s="8">
        <v>0</v>
      </c>
      <c r="AD64" s="29"/>
      <c r="AE64" s="29"/>
      <c r="AF64" s="29"/>
      <c r="AG64" s="29"/>
      <c r="AH64" s="29"/>
      <c r="AI64" t="str">
        <f t="shared" si="0"/>
        <v xml:space="preserve">1999, </v>
      </c>
    </row>
    <row r="65" spans="1:35" x14ac:dyDescent="0.2">
      <c r="A65" s="5">
        <v>62</v>
      </c>
      <c r="B65" s="5">
        <v>62</v>
      </c>
      <c r="C65" s="6" t="s">
        <v>91</v>
      </c>
      <c r="D65" s="7" t="s">
        <v>287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17">
        <v>0</v>
      </c>
      <c r="AA65" s="25">
        <v>1</v>
      </c>
      <c r="AB65" s="17">
        <v>0</v>
      </c>
      <c r="AC65" s="8">
        <v>0</v>
      </c>
      <c r="AD65" s="29"/>
      <c r="AE65" s="29"/>
      <c r="AF65" s="29"/>
      <c r="AG65" s="29"/>
      <c r="AH65" s="29"/>
      <c r="AI65" t="str">
        <f t="shared" si="0"/>
        <v xml:space="preserve">2018, </v>
      </c>
    </row>
    <row r="66" spans="1:35" x14ac:dyDescent="0.2">
      <c r="A66" s="5">
        <v>63</v>
      </c>
      <c r="B66" s="5">
        <v>63</v>
      </c>
      <c r="C66" s="6" t="s">
        <v>92</v>
      </c>
      <c r="D66" s="7" t="s">
        <v>288</v>
      </c>
      <c r="E66" s="8">
        <v>0</v>
      </c>
      <c r="F66" s="8">
        <v>0</v>
      </c>
      <c r="G66" s="8">
        <v>0</v>
      </c>
      <c r="H66" s="42">
        <v>0</v>
      </c>
      <c r="I66" s="21">
        <v>1</v>
      </c>
      <c r="J66" s="21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42">
        <v>0</v>
      </c>
      <c r="U66" s="21">
        <v>1</v>
      </c>
      <c r="V66" s="8">
        <v>0</v>
      </c>
      <c r="W66" s="8">
        <v>0</v>
      </c>
      <c r="X66" s="8">
        <v>0</v>
      </c>
      <c r="Y66" s="8">
        <v>0</v>
      </c>
      <c r="Z66" s="17">
        <v>0</v>
      </c>
      <c r="AA66" s="8">
        <v>0</v>
      </c>
      <c r="AB66" s="17">
        <v>0</v>
      </c>
      <c r="AC66" s="8">
        <v>0</v>
      </c>
      <c r="AD66" s="29"/>
      <c r="AE66" s="29"/>
      <c r="AF66" s="29"/>
      <c r="AG66" s="29"/>
      <c r="AH66" s="29"/>
      <c r="AI66" t="str">
        <f t="shared" si="0"/>
        <v xml:space="preserve">2000, 2001, 2012, </v>
      </c>
    </row>
    <row r="67" spans="1:35" x14ac:dyDescent="0.2">
      <c r="A67" s="5">
        <v>64</v>
      </c>
      <c r="B67" s="5">
        <v>64</v>
      </c>
      <c r="C67" s="6" t="s">
        <v>93</v>
      </c>
      <c r="D67" s="7" t="s">
        <v>289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17">
        <v>0</v>
      </c>
      <c r="AA67" s="8">
        <v>0</v>
      </c>
      <c r="AB67" s="17">
        <v>0</v>
      </c>
      <c r="AC67" s="8">
        <v>0</v>
      </c>
      <c r="AD67" s="29"/>
      <c r="AE67" s="29"/>
      <c r="AF67" s="29"/>
      <c r="AG67" s="29"/>
      <c r="AH67" s="29"/>
      <c r="AI67" t="str">
        <f t="shared" si="0"/>
        <v/>
      </c>
    </row>
    <row r="68" spans="1:35" x14ac:dyDescent="0.2">
      <c r="A68" s="5">
        <v>65</v>
      </c>
      <c r="B68" s="5">
        <v>65</v>
      </c>
      <c r="C68" s="9" t="s">
        <v>94</v>
      </c>
      <c r="D68" s="10" t="s">
        <v>290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17">
        <v>0</v>
      </c>
      <c r="AA68" s="8">
        <v>0</v>
      </c>
      <c r="AB68" s="17">
        <v>0</v>
      </c>
      <c r="AC68" s="8">
        <v>0</v>
      </c>
      <c r="AD68" s="29"/>
      <c r="AE68" s="29"/>
      <c r="AF68" s="29"/>
      <c r="AG68" s="29"/>
      <c r="AH68" s="29"/>
      <c r="AI68" t="str">
        <f t="shared" si="0"/>
        <v/>
      </c>
    </row>
    <row r="69" spans="1:35" x14ac:dyDescent="0.2">
      <c r="A69" s="5">
        <v>66</v>
      </c>
      <c r="B69" s="5">
        <v>66</v>
      </c>
      <c r="C69" s="11" t="s">
        <v>95</v>
      </c>
      <c r="D69" s="12" t="s">
        <v>291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44">
        <v>1</v>
      </c>
      <c r="S69" s="23">
        <v>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22">
        <v>1</v>
      </c>
      <c r="AA69" s="8">
        <v>0</v>
      </c>
      <c r="AB69" s="17">
        <v>0</v>
      </c>
      <c r="AC69" s="8">
        <v>0</v>
      </c>
      <c r="AD69" s="29"/>
      <c r="AE69" s="29"/>
      <c r="AF69" s="29"/>
      <c r="AG69" s="29"/>
      <c r="AH69" s="29"/>
      <c r="AI69" t="str">
        <f t="shared" ref="AI69:AI132" si="1">+IF($E69=1,RIGHT(E$3,4)&amp;",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","")&amp;IF($Z69=1,RIGHT(Z$3,4)&amp;", ","")&amp;IF($AA69=1, RIGHT(AA$3,4)&amp;", ", "")&amp;IF($AB69=1, RIGHT(AB$3,4)&amp;", ", "")&amp;IF($AC69=1, RIGHT(AC$3,4)&amp;", ", "")&amp;IF($AD69=1, RIGHT(AD$3,4)&amp;", ", "")&amp;IF($AE69=1, RIGHT(AE$3,4)&amp;", ", "")&amp;IF($AF69=1, RIGHT(AF$3,4)&amp;", ", "")&amp;IF($AG69=1, RIGHT(AG$3,4)&amp;", ", "")&amp;IF($AH69=1, RIGHT(AH$3,4)&amp;", ", "")</f>
        <v xml:space="preserve">2009, 2010, 2017, </v>
      </c>
    </row>
    <row r="70" spans="1:35" x14ac:dyDescent="0.2">
      <c r="A70" s="5">
        <v>67</v>
      </c>
      <c r="B70" s="5">
        <v>67</v>
      </c>
      <c r="C70" s="9" t="s">
        <v>96</v>
      </c>
      <c r="D70" s="10" t="s">
        <v>292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42">
        <v>0</v>
      </c>
      <c r="N70" s="8">
        <v>0</v>
      </c>
      <c r="O70" s="8">
        <v>0</v>
      </c>
      <c r="P70" s="42">
        <v>0</v>
      </c>
      <c r="Q70" s="8">
        <v>0</v>
      </c>
      <c r="R70" s="42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17">
        <v>0</v>
      </c>
      <c r="AA70" s="8">
        <v>0</v>
      </c>
      <c r="AB70" s="25">
        <v>1</v>
      </c>
      <c r="AC70" s="8">
        <v>0</v>
      </c>
      <c r="AD70" s="29"/>
      <c r="AE70" s="29"/>
      <c r="AF70" s="29"/>
      <c r="AG70" s="29"/>
      <c r="AH70" s="29"/>
      <c r="AI70" t="str">
        <f t="shared" si="1"/>
        <v xml:space="preserve">2019, </v>
      </c>
    </row>
    <row r="71" spans="1:35" x14ac:dyDescent="0.2">
      <c r="A71" s="5">
        <v>68</v>
      </c>
      <c r="B71" s="5">
        <v>68</v>
      </c>
      <c r="C71" s="6" t="s">
        <v>97</v>
      </c>
      <c r="D71" s="7" t="s">
        <v>293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42">
        <v>0</v>
      </c>
      <c r="S71" s="21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17">
        <v>0</v>
      </c>
      <c r="AC71" s="8">
        <v>0</v>
      </c>
      <c r="AD71" s="29"/>
      <c r="AE71" s="29"/>
      <c r="AF71" s="29"/>
      <c r="AG71" s="29"/>
      <c r="AH71" s="29"/>
      <c r="AI71" t="str">
        <f t="shared" si="1"/>
        <v xml:space="preserve">2010, </v>
      </c>
    </row>
    <row r="72" spans="1:35" x14ac:dyDescent="0.2">
      <c r="A72" s="5">
        <v>69</v>
      </c>
      <c r="B72" s="5">
        <v>69</v>
      </c>
      <c r="C72" s="6" t="s">
        <v>98</v>
      </c>
      <c r="D72" s="7" t="s">
        <v>294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17">
        <v>0</v>
      </c>
      <c r="AA72" s="8">
        <v>0</v>
      </c>
      <c r="AB72" s="17">
        <v>0</v>
      </c>
      <c r="AC72" s="8">
        <v>0</v>
      </c>
      <c r="AD72" s="29"/>
      <c r="AE72" s="29"/>
      <c r="AF72" s="29"/>
      <c r="AG72" s="29"/>
      <c r="AH72" s="29"/>
      <c r="AI72" t="str">
        <f t="shared" si="1"/>
        <v/>
      </c>
    </row>
    <row r="73" spans="1:35" x14ac:dyDescent="0.2">
      <c r="A73" s="5">
        <v>70</v>
      </c>
      <c r="B73" s="5">
        <v>70</v>
      </c>
      <c r="C73" s="13" t="s">
        <v>99</v>
      </c>
      <c r="D73" s="12" t="s">
        <v>295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42">
        <v>0</v>
      </c>
      <c r="T73" s="23">
        <v>1</v>
      </c>
      <c r="U73" s="23">
        <v>1</v>
      </c>
      <c r="V73" s="8">
        <v>0</v>
      </c>
      <c r="W73" s="8">
        <v>0</v>
      </c>
      <c r="X73" s="8">
        <v>0</v>
      </c>
      <c r="Y73" s="8">
        <v>0</v>
      </c>
      <c r="Z73" s="25">
        <v>1</v>
      </c>
      <c r="AA73" s="25">
        <v>1</v>
      </c>
      <c r="AB73" s="25">
        <v>1</v>
      </c>
      <c r="AC73" s="8">
        <v>0</v>
      </c>
      <c r="AD73" s="29"/>
      <c r="AE73" s="29"/>
      <c r="AF73" s="29"/>
      <c r="AG73" s="29"/>
      <c r="AH73" s="29"/>
      <c r="AI73" t="str">
        <f t="shared" si="1"/>
        <v xml:space="preserve">2011, 2012, 2017, 2018, 2019, </v>
      </c>
    </row>
    <row r="74" spans="1:35" x14ac:dyDescent="0.2">
      <c r="A74" s="5">
        <v>71</v>
      </c>
      <c r="B74" s="5">
        <v>71</v>
      </c>
      <c r="C74" s="6" t="s">
        <v>100</v>
      </c>
      <c r="D74" s="7" t="s">
        <v>296</v>
      </c>
      <c r="E74" s="23">
        <v>1</v>
      </c>
      <c r="F74" s="23">
        <v>1</v>
      </c>
      <c r="G74" s="23">
        <v>1</v>
      </c>
      <c r="H74" s="23">
        <v>1</v>
      </c>
      <c r="I74" s="23">
        <v>1</v>
      </c>
      <c r="J74" s="23">
        <v>1</v>
      </c>
      <c r="K74" s="23">
        <v>1</v>
      </c>
      <c r="L74" s="23">
        <v>1</v>
      </c>
      <c r="M74" s="23">
        <v>1</v>
      </c>
      <c r="N74" s="21">
        <v>1</v>
      </c>
      <c r="O74" s="23">
        <v>1</v>
      </c>
      <c r="P74" s="23">
        <v>1</v>
      </c>
      <c r="Q74" s="23">
        <v>1</v>
      </c>
      <c r="R74" s="23">
        <v>1</v>
      </c>
      <c r="S74" s="21">
        <v>1</v>
      </c>
      <c r="T74" s="21">
        <v>1</v>
      </c>
      <c r="U74" s="21">
        <v>1</v>
      </c>
      <c r="V74" s="21">
        <v>1</v>
      </c>
      <c r="W74" s="21">
        <v>1</v>
      </c>
      <c r="X74" s="21">
        <v>1</v>
      </c>
      <c r="Y74" s="21">
        <v>1</v>
      </c>
      <c r="Z74" s="21">
        <v>1</v>
      </c>
      <c r="AA74" s="21">
        <v>1</v>
      </c>
      <c r="AB74" s="24">
        <v>1</v>
      </c>
      <c r="AC74" s="8">
        <v>0</v>
      </c>
      <c r="AD74" s="29"/>
      <c r="AE74" s="29"/>
      <c r="AF74" s="29"/>
      <c r="AG74" s="29"/>
      <c r="AH74" s="29"/>
      <c r="AI74" t="str">
        <f t="shared" si="1"/>
        <v xml:space="preserve">1996, 1997, 1998, 1999, 2000, 2001, 2002, 2003, 2004, 2005, 2006, 2007, 2008, 2009, 2010, 2011, 2012, 2013, 2014, 2015, 2016, 2017, 2018, 2019, </v>
      </c>
    </row>
    <row r="75" spans="1:35" x14ac:dyDescent="0.2">
      <c r="A75" s="5">
        <v>72</v>
      </c>
      <c r="B75" s="5">
        <v>72</v>
      </c>
      <c r="C75" s="6" t="s">
        <v>101</v>
      </c>
      <c r="D75" s="7" t="s">
        <v>297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42">
        <v>0</v>
      </c>
      <c r="Q75" s="21">
        <v>1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17">
        <v>0</v>
      </c>
      <c r="AA75" s="8">
        <v>0</v>
      </c>
      <c r="AB75" s="17">
        <v>0</v>
      </c>
      <c r="AC75" s="8">
        <v>0</v>
      </c>
      <c r="AD75" s="29"/>
      <c r="AE75" s="29"/>
      <c r="AF75" s="29"/>
      <c r="AG75" s="29"/>
      <c r="AH75" s="29"/>
      <c r="AI75" t="str">
        <f t="shared" si="1"/>
        <v xml:space="preserve">2008, </v>
      </c>
    </row>
    <row r="76" spans="1:35" x14ac:dyDescent="0.2">
      <c r="A76" s="5">
        <v>73</v>
      </c>
      <c r="B76" s="5">
        <v>73</v>
      </c>
      <c r="C76" s="9" t="s">
        <v>102</v>
      </c>
      <c r="D76" s="10" t="s">
        <v>298</v>
      </c>
      <c r="E76" s="8">
        <v>0</v>
      </c>
      <c r="F76" s="8">
        <v>0</v>
      </c>
      <c r="G76" s="8">
        <v>0</v>
      </c>
      <c r="H76" s="22">
        <v>1</v>
      </c>
      <c r="I76" s="8">
        <v>0</v>
      </c>
      <c r="J76" s="22">
        <v>1</v>
      </c>
      <c r="K76" s="23">
        <v>1</v>
      </c>
      <c r="L76" s="23">
        <v>1</v>
      </c>
      <c r="M76" s="23">
        <v>1</v>
      </c>
      <c r="N76" s="22">
        <v>1</v>
      </c>
      <c r="O76" s="22">
        <v>1</v>
      </c>
      <c r="P76" s="22">
        <v>1</v>
      </c>
      <c r="Q76" s="22">
        <v>1</v>
      </c>
      <c r="R76" s="22">
        <v>1</v>
      </c>
      <c r="S76" s="22">
        <v>1</v>
      </c>
      <c r="T76" s="22">
        <v>1</v>
      </c>
      <c r="U76" s="22">
        <v>1</v>
      </c>
      <c r="V76" s="22">
        <v>1</v>
      </c>
      <c r="W76" s="22">
        <v>1</v>
      </c>
      <c r="X76" s="22">
        <v>1</v>
      </c>
      <c r="Y76" s="22">
        <v>1</v>
      </c>
      <c r="Z76" s="22">
        <v>1</v>
      </c>
      <c r="AA76" s="22">
        <v>1</v>
      </c>
      <c r="AB76" s="24">
        <v>1</v>
      </c>
      <c r="AC76" s="8">
        <v>0</v>
      </c>
      <c r="AD76" s="29"/>
      <c r="AE76" s="29"/>
      <c r="AF76" s="29"/>
      <c r="AG76" s="29"/>
      <c r="AH76" s="29"/>
      <c r="AI76" t="str">
        <f t="shared" si="1"/>
        <v xml:space="preserve">1999, 2001, 2002, 2003, 2004, 2005, 2006, 2007, 2008, 2009, 2010, 2011, 2012, 2013, 2014, 2015, 2016, 2017, 2018, 2019, </v>
      </c>
    </row>
    <row r="77" spans="1:35" x14ac:dyDescent="0.2">
      <c r="A77" s="5">
        <f t="shared" ref="A77:A125" si="2">1+A76</f>
        <v>74</v>
      </c>
      <c r="B77" s="5">
        <v>74</v>
      </c>
      <c r="C77" s="6" t="s">
        <v>103</v>
      </c>
      <c r="D77" s="7" t="s">
        <v>299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42">
        <v>0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5">
        <v>1</v>
      </c>
      <c r="AC77" s="8">
        <v>1</v>
      </c>
      <c r="AD77" s="21">
        <v>1</v>
      </c>
      <c r="AE77" s="25">
        <v>1</v>
      </c>
      <c r="AF77" s="29"/>
      <c r="AG77" s="29"/>
      <c r="AH77" s="29"/>
      <c r="AI77" t="str">
        <f t="shared" si="1"/>
        <v xml:space="preserve">2011, 2012, 2013, 2014, 2015, 2016, 2017, 2018, 2019, 2020, 2021, 2022, </v>
      </c>
    </row>
    <row r="78" spans="1:35" x14ac:dyDescent="0.2">
      <c r="A78" s="5">
        <f t="shared" si="2"/>
        <v>75</v>
      </c>
      <c r="B78" s="5">
        <v>75</v>
      </c>
      <c r="C78" s="6" t="s">
        <v>104</v>
      </c>
      <c r="D78" s="7" t="s">
        <v>300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21">
        <v>1</v>
      </c>
      <c r="V78" s="8">
        <v>0</v>
      </c>
      <c r="W78" s="8">
        <v>0</v>
      </c>
      <c r="X78" s="21">
        <v>1</v>
      </c>
      <c r="Y78" s="8">
        <v>0</v>
      </c>
      <c r="Z78" s="17">
        <v>0</v>
      </c>
      <c r="AA78" s="8">
        <v>0</v>
      </c>
      <c r="AB78" s="17">
        <v>0</v>
      </c>
      <c r="AC78" s="8">
        <v>0</v>
      </c>
      <c r="AD78" s="29"/>
      <c r="AE78" s="29"/>
      <c r="AF78" s="29"/>
      <c r="AG78" s="29"/>
      <c r="AH78" s="29"/>
      <c r="AI78" t="str">
        <f t="shared" si="1"/>
        <v xml:space="preserve">2012, 2015, </v>
      </c>
    </row>
    <row r="79" spans="1:35" x14ac:dyDescent="0.2">
      <c r="A79" s="5">
        <f t="shared" si="2"/>
        <v>76</v>
      </c>
      <c r="B79" s="5">
        <v>76</v>
      </c>
      <c r="C79" s="6" t="s">
        <v>105</v>
      </c>
      <c r="D79" s="7" t="s">
        <v>301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17">
        <v>0</v>
      </c>
      <c r="AA79" s="8">
        <v>0</v>
      </c>
      <c r="AB79" s="17">
        <v>0</v>
      </c>
      <c r="AC79" s="8">
        <v>0</v>
      </c>
      <c r="AD79" s="29"/>
      <c r="AE79" s="29"/>
      <c r="AF79" s="29"/>
      <c r="AG79" s="29"/>
      <c r="AH79" s="29"/>
      <c r="AI79" t="str">
        <f t="shared" si="1"/>
        <v/>
      </c>
    </row>
    <row r="80" spans="1:35" x14ac:dyDescent="0.2">
      <c r="A80" s="5">
        <f t="shared" si="2"/>
        <v>77</v>
      </c>
      <c r="B80" s="5">
        <v>77</v>
      </c>
      <c r="C80" s="6" t="s">
        <v>106</v>
      </c>
      <c r="D80" s="7" t="s">
        <v>302</v>
      </c>
      <c r="E80" s="8">
        <v>0</v>
      </c>
      <c r="F80" s="8">
        <v>0</v>
      </c>
      <c r="G80" s="8">
        <v>0</v>
      </c>
      <c r="H80" s="8">
        <v>0</v>
      </c>
      <c r="I80" s="23">
        <v>1</v>
      </c>
      <c r="J80" s="23">
        <v>1</v>
      </c>
      <c r="K80" s="21">
        <v>1</v>
      </c>
      <c r="L80" s="21">
        <v>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>
        <v>1</v>
      </c>
      <c r="T80" s="21">
        <v>1</v>
      </c>
      <c r="U80" s="21">
        <v>1</v>
      </c>
      <c r="V80" s="21">
        <v>1</v>
      </c>
      <c r="W80" s="21">
        <v>1</v>
      </c>
      <c r="X80" s="21">
        <v>1</v>
      </c>
      <c r="Y80" s="21">
        <v>1</v>
      </c>
      <c r="Z80" s="25">
        <v>1</v>
      </c>
      <c r="AA80" s="21">
        <v>1</v>
      </c>
      <c r="AB80" s="25">
        <v>1</v>
      </c>
      <c r="AC80" s="8">
        <v>0</v>
      </c>
      <c r="AD80" s="29"/>
      <c r="AE80" s="29"/>
      <c r="AF80" s="29"/>
      <c r="AG80" s="29"/>
      <c r="AH80" s="29"/>
      <c r="AI80" t="str">
        <f t="shared" si="1"/>
        <v xml:space="preserve">2000, 2001, 2002, 2003, 2004, 2005, 2006, 2007, 2008, 2009, 2010, 2011, 2012, 2013, 2014, 2015, 2016, 2017, 2018, 2019, </v>
      </c>
    </row>
    <row r="81" spans="1:35" x14ac:dyDescent="0.2">
      <c r="A81" s="5">
        <f t="shared" si="2"/>
        <v>78</v>
      </c>
      <c r="B81" s="5">
        <v>78</v>
      </c>
      <c r="C81" s="11" t="s">
        <v>107</v>
      </c>
      <c r="D81" s="12" t="s">
        <v>303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17">
        <v>0</v>
      </c>
      <c r="AA81" s="8">
        <v>0</v>
      </c>
      <c r="AB81" s="17">
        <v>0</v>
      </c>
      <c r="AC81" s="8">
        <v>0</v>
      </c>
      <c r="AD81" s="29"/>
      <c r="AE81" s="29"/>
      <c r="AF81" s="29"/>
      <c r="AG81" s="29"/>
      <c r="AH81" s="29"/>
      <c r="AI81" t="str">
        <f t="shared" si="1"/>
        <v/>
      </c>
    </row>
    <row r="82" spans="1:35" x14ac:dyDescent="0.2">
      <c r="A82" s="5" t="e">
        <f>1+#REF!</f>
        <v>#REF!</v>
      </c>
      <c r="B82" s="5">
        <v>79</v>
      </c>
      <c r="C82" s="9" t="s">
        <v>108</v>
      </c>
      <c r="D82" s="10" t="s">
        <v>304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25">
        <v>1</v>
      </c>
      <c r="P82" s="25">
        <v>1</v>
      </c>
      <c r="Q82" s="21">
        <v>1</v>
      </c>
      <c r="R82" s="21">
        <v>1</v>
      </c>
      <c r="S82" s="21">
        <v>1</v>
      </c>
      <c r="T82" s="21">
        <v>1</v>
      </c>
      <c r="U82" s="21">
        <v>1</v>
      </c>
      <c r="V82" s="21">
        <v>1</v>
      </c>
      <c r="W82" s="21">
        <v>1</v>
      </c>
      <c r="X82" s="21">
        <v>1</v>
      </c>
      <c r="Y82" s="21">
        <v>1</v>
      </c>
      <c r="Z82" s="25">
        <v>1</v>
      </c>
      <c r="AA82" s="25">
        <v>1</v>
      </c>
      <c r="AB82" s="25">
        <v>1</v>
      </c>
      <c r="AC82" s="8">
        <v>0</v>
      </c>
      <c r="AD82" s="29"/>
      <c r="AE82" s="29"/>
      <c r="AF82" s="29"/>
      <c r="AG82" s="29"/>
      <c r="AH82" s="29"/>
      <c r="AI82" t="str">
        <f t="shared" si="1"/>
        <v xml:space="preserve">2006, 2007, 2008, 2009, 2010, 2011, 2012, 2013, 2014, 2015, 2016, 2017, 2018, 2019, </v>
      </c>
    </row>
    <row r="83" spans="1:35" x14ac:dyDescent="0.2">
      <c r="A83" s="5" t="e">
        <f>1+#REF!</f>
        <v>#REF!</v>
      </c>
      <c r="B83" s="5">
        <v>80</v>
      </c>
      <c r="C83" s="6" t="s">
        <v>109</v>
      </c>
      <c r="D83" s="7" t="s">
        <v>305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25">
        <v>1</v>
      </c>
      <c r="W83" s="8">
        <v>0</v>
      </c>
      <c r="X83" s="8">
        <v>0</v>
      </c>
      <c r="Y83" s="25">
        <v>1</v>
      </c>
      <c r="Z83" s="25">
        <v>1</v>
      </c>
      <c r="AA83" s="25">
        <v>1</v>
      </c>
      <c r="AB83" s="17">
        <v>0</v>
      </c>
      <c r="AC83" s="8">
        <v>0</v>
      </c>
      <c r="AD83" s="29"/>
      <c r="AE83" s="29"/>
      <c r="AF83" s="29"/>
      <c r="AG83" s="29"/>
      <c r="AH83" s="29"/>
      <c r="AI83" t="str">
        <f t="shared" si="1"/>
        <v xml:space="preserve">2013, 2016, 2017, 2018, </v>
      </c>
    </row>
    <row r="84" spans="1:35" x14ac:dyDescent="0.2">
      <c r="A84" s="5" t="e">
        <f t="shared" si="2"/>
        <v>#REF!</v>
      </c>
      <c r="B84" s="5">
        <v>81</v>
      </c>
      <c r="C84" s="6" t="s">
        <v>110</v>
      </c>
      <c r="D84" s="7" t="s">
        <v>306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21">
        <v>1</v>
      </c>
      <c r="Y84" s="8">
        <v>0</v>
      </c>
      <c r="Z84" s="25">
        <v>1</v>
      </c>
      <c r="AA84" s="25">
        <v>1</v>
      </c>
      <c r="AB84" s="25">
        <v>1</v>
      </c>
      <c r="AC84" s="8">
        <v>0</v>
      </c>
      <c r="AD84" s="29"/>
      <c r="AE84" s="29"/>
      <c r="AF84" s="29"/>
      <c r="AG84" s="29"/>
      <c r="AH84" s="29"/>
      <c r="AI84" t="str">
        <f t="shared" si="1"/>
        <v xml:space="preserve">2015, 2017, 2018, 2019, </v>
      </c>
    </row>
    <row r="85" spans="1:35" x14ac:dyDescent="0.2">
      <c r="A85" s="5" t="e">
        <f t="shared" si="2"/>
        <v>#REF!</v>
      </c>
      <c r="B85" s="5">
        <v>82</v>
      </c>
      <c r="C85" s="6" t="s">
        <v>111</v>
      </c>
      <c r="D85" s="7" t="s">
        <v>307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22">
        <v>1</v>
      </c>
      <c r="Q85" s="22">
        <v>1</v>
      </c>
      <c r="R85" s="23">
        <v>1</v>
      </c>
      <c r="S85" s="22">
        <v>1</v>
      </c>
      <c r="T85" s="21">
        <v>1</v>
      </c>
      <c r="U85" s="21">
        <v>1</v>
      </c>
      <c r="V85" s="21">
        <v>1</v>
      </c>
      <c r="W85" s="21">
        <v>1</v>
      </c>
      <c r="X85" s="21">
        <v>1</v>
      </c>
      <c r="Y85" s="21">
        <v>1</v>
      </c>
      <c r="Z85" s="21">
        <v>1</v>
      </c>
      <c r="AA85" s="21">
        <v>1</v>
      </c>
      <c r="AB85" s="25">
        <v>1</v>
      </c>
      <c r="AC85" s="22">
        <v>1</v>
      </c>
      <c r="AD85" s="53"/>
      <c r="AE85" s="53"/>
      <c r="AF85" s="53"/>
      <c r="AG85" s="53"/>
      <c r="AH85" s="53"/>
      <c r="AI85" t="str">
        <f t="shared" si="1"/>
        <v xml:space="preserve">2007, 2008, 2009, 2010, 2011, 2012, 2013, 2014, 2015, 2016, 2017, 2018, 2019, 2020, </v>
      </c>
    </row>
    <row r="86" spans="1:35" x14ac:dyDescent="0.2">
      <c r="A86" s="5" t="e">
        <f t="shared" si="2"/>
        <v>#REF!</v>
      </c>
      <c r="B86" s="5">
        <v>83</v>
      </c>
      <c r="C86" s="6" t="s">
        <v>112</v>
      </c>
      <c r="D86" s="7" t="s">
        <v>308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21">
        <v>1</v>
      </c>
      <c r="L86" s="8">
        <v>0</v>
      </c>
      <c r="M86" s="8">
        <v>0</v>
      </c>
      <c r="N86" s="8">
        <v>0</v>
      </c>
      <c r="O86" s="21">
        <v>1</v>
      </c>
      <c r="P86" s="21">
        <v>1</v>
      </c>
      <c r="Q86" s="21">
        <v>1</v>
      </c>
      <c r="R86" s="8">
        <v>0</v>
      </c>
      <c r="S86" s="21">
        <v>1</v>
      </c>
      <c r="T86" s="21">
        <v>1</v>
      </c>
      <c r="U86" s="21">
        <v>1</v>
      </c>
      <c r="V86" s="21">
        <v>1</v>
      </c>
      <c r="W86" s="21">
        <v>1</v>
      </c>
      <c r="X86" s="21">
        <v>1</v>
      </c>
      <c r="Y86" s="21">
        <v>1</v>
      </c>
      <c r="Z86" s="25">
        <v>1</v>
      </c>
      <c r="AA86" s="21">
        <v>1</v>
      </c>
      <c r="AB86" s="25">
        <v>1</v>
      </c>
      <c r="AC86" s="8">
        <v>0</v>
      </c>
      <c r="AD86" s="29"/>
      <c r="AE86" s="29"/>
      <c r="AF86" s="29"/>
      <c r="AG86" s="29"/>
      <c r="AH86" s="29"/>
      <c r="AI86" t="str">
        <f t="shared" si="1"/>
        <v xml:space="preserve">2002, 2006, 2007, 2008, 2010, 2011, 2012, 2013, 2014, 2015, 2016, 2017, 2018, 2019, </v>
      </c>
    </row>
    <row r="87" spans="1:35" x14ac:dyDescent="0.2">
      <c r="A87" s="5" t="e">
        <f t="shared" si="2"/>
        <v>#REF!</v>
      </c>
      <c r="B87" s="5">
        <v>84</v>
      </c>
      <c r="C87" s="6" t="s">
        <v>113</v>
      </c>
      <c r="D87" s="7" t="s">
        <v>309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22">
        <v>1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17">
        <v>0</v>
      </c>
      <c r="AA87" s="8">
        <v>0</v>
      </c>
      <c r="AB87" s="17">
        <v>0</v>
      </c>
      <c r="AC87" s="8">
        <v>0</v>
      </c>
      <c r="AD87" s="29"/>
      <c r="AE87" s="29"/>
      <c r="AF87" s="29"/>
      <c r="AG87" s="29"/>
      <c r="AH87" s="29"/>
      <c r="AI87" t="str">
        <f t="shared" si="1"/>
        <v xml:space="preserve">2004, </v>
      </c>
    </row>
    <row r="88" spans="1:35" x14ac:dyDescent="0.2">
      <c r="A88" s="5" t="e">
        <f t="shared" si="2"/>
        <v>#REF!</v>
      </c>
      <c r="B88" s="5">
        <v>85</v>
      </c>
      <c r="C88" s="13" t="s">
        <v>114</v>
      </c>
      <c r="D88" s="12" t="s">
        <v>310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22">
        <v>1</v>
      </c>
      <c r="V88" s="8">
        <v>0</v>
      </c>
      <c r="W88" s="8">
        <v>0</v>
      </c>
      <c r="X88" s="8">
        <v>0</v>
      </c>
      <c r="Y88" s="8">
        <v>0</v>
      </c>
      <c r="Z88" s="26">
        <v>1</v>
      </c>
      <c r="AA88" s="8">
        <v>0</v>
      </c>
      <c r="AB88" s="17">
        <v>0</v>
      </c>
      <c r="AC88" s="8">
        <v>0</v>
      </c>
      <c r="AD88" s="29"/>
      <c r="AE88" s="29"/>
      <c r="AF88" s="29"/>
      <c r="AG88" s="29"/>
      <c r="AH88" s="29"/>
      <c r="AI88" t="str">
        <f t="shared" si="1"/>
        <v xml:space="preserve">2012, 2017, </v>
      </c>
    </row>
    <row r="89" spans="1:35" x14ac:dyDescent="0.2">
      <c r="A89" s="5" t="e">
        <f t="shared" si="2"/>
        <v>#REF!</v>
      </c>
      <c r="B89" s="5">
        <v>86</v>
      </c>
      <c r="C89" s="6" t="s">
        <v>115</v>
      </c>
      <c r="D89" s="7" t="s">
        <v>311</v>
      </c>
      <c r="E89" s="8">
        <v>0</v>
      </c>
      <c r="F89" s="8">
        <v>0</v>
      </c>
      <c r="G89" s="8">
        <v>0</v>
      </c>
      <c r="H89" s="22">
        <v>1</v>
      </c>
      <c r="I89" s="23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5">
        <v>1</v>
      </c>
      <c r="AC89" s="22">
        <v>0</v>
      </c>
      <c r="AD89" s="53"/>
      <c r="AE89" s="53"/>
      <c r="AF89" s="53"/>
      <c r="AG89" s="53"/>
      <c r="AH89" s="53"/>
      <c r="AI89" t="str">
        <f t="shared" si="1"/>
        <v xml:space="preserve">1999, 2000, 2001, 2002, 2003, 2004, 2005, 2006, 2007, 2008, 2009, 2010, 2011, 2012, 2013, 2014, 2015, 2016, 2017, 2018, 2019, </v>
      </c>
    </row>
    <row r="90" spans="1:35" x14ac:dyDescent="0.2">
      <c r="A90" s="5" t="e">
        <f t="shared" si="2"/>
        <v>#REF!</v>
      </c>
      <c r="B90" s="5">
        <v>87</v>
      </c>
      <c r="C90" s="11" t="s">
        <v>116</v>
      </c>
      <c r="D90" s="12" t="s">
        <v>312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21">
        <v>1</v>
      </c>
      <c r="V90" s="21">
        <v>1</v>
      </c>
      <c r="W90" s="8">
        <v>0</v>
      </c>
      <c r="X90" s="8">
        <v>0</v>
      </c>
      <c r="Y90" s="8">
        <v>0</v>
      </c>
      <c r="Z90" s="17">
        <v>0</v>
      </c>
      <c r="AA90" s="8">
        <v>0</v>
      </c>
      <c r="AB90" s="17">
        <v>0</v>
      </c>
      <c r="AC90" s="8">
        <v>0</v>
      </c>
      <c r="AD90" s="29"/>
      <c r="AE90" s="29"/>
      <c r="AF90" s="29"/>
      <c r="AG90" s="29"/>
      <c r="AH90" s="29"/>
      <c r="AI90" t="str">
        <f t="shared" si="1"/>
        <v xml:space="preserve">2012, 2013, </v>
      </c>
    </row>
    <row r="91" spans="1:35" x14ac:dyDescent="0.2">
      <c r="A91" s="5" t="e">
        <f t="shared" si="2"/>
        <v>#REF!</v>
      </c>
      <c r="B91" s="5">
        <v>88</v>
      </c>
      <c r="C91" s="6" t="s">
        <v>117</v>
      </c>
      <c r="D91" s="7" t="s">
        <v>313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22">
        <v>1</v>
      </c>
      <c r="N91" s="22">
        <v>1</v>
      </c>
      <c r="O91" s="22">
        <v>1</v>
      </c>
      <c r="P91" s="22">
        <v>1</v>
      </c>
      <c r="Q91" s="22">
        <v>1</v>
      </c>
      <c r="R91" s="22">
        <v>1</v>
      </c>
      <c r="S91" s="22">
        <v>1</v>
      </c>
      <c r="T91" s="23">
        <v>1</v>
      </c>
      <c r="U91" s="22">
        <v>1</v>
      </c>
      <c r="V91" s="22">
        <v>1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B91" s="26">
        <v>1</v>
      </c>
      <c r="AC91" s="23">
        <v>1</v>
      </c>
      <c r="AD91" s="54"/>
      <c r="AE91" s="54"/>
      <c r="AF91" s="54"/>
      <c r="AG91" s="54"/>
      <c r="AH91" s="54"/>
      <c r="AI91" t="str">
        <f t="shared" si="1"/>
        <v xml:space="preserve">2004, 2005, 2006, 2007, 2008, 2009, 2010, 2011, 2012, 2013, 2014, 2015, 2016, 2017, 2018, 2019, 2020, </v>
      </c>
    </row>
    <row r="92" spans="1:35" x14ac:dyDescent="0.2">
      <c r="A92" s="5" t="e">
        <f t="shared" si="2"/>
        <v>#REF!</v>
      </c>
      <c r="B92" s="5">
        <v>89</v>
      </c>
      <c r="C92" s="6" t="s">
        <v>118</v>
      </c>
      <c r="D92" s="7" t="s">
        <v>314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42">
        <v>0</v>
      </c>
      <c r="R92" s="8">
        <v>0</v>
      </c>
      <c r="S92" s="8">
        <v>0</v>
      </c>
      <c r="T92" s="8">
        <v>0</v>
      </c>
      <c r="U92" s="21">
        <v>1</v>
      </c>
      <c r="V92" s="21">
        <v>1</v>
      </c>
      <c r="W92" s="21">
        <v>1</v>
      </c>
      <c r="X92" s="8">
        <v>0</v>
      </c>
      <c r="Y92" s="21">
        <v>1</v>
      </c>
      <c r="Z92" s="17">
        <v>0</v>
      </c>
      <c r="AA92" s="22">
        <v>1</v>
      </c>
      <c r="AB92" s="17">
        <v>0</v>
      </c>
      <c r="AC92" s="8">
        <v>0</v>
      </c>
      <c r="AD92" s="29"/>
      <c r="AE92" s="29"/>
      <c r="AF92" s="29"/>
      <c r="AG92" s="29"/>
      <c r="AH92" s="29"/>
      <c r="AI92" t="str">
        <f t="shared" si="1"/>
        <v xml:space="preserve">2012, 2013, 2014, 2016, 2018, </v>
      </c>
    </row>
    <row r="93" spans="1:35" x14ac:dyDescent="0.2">
      <c r="A93" s="5" t="e">
        <f t="shared" si="2"/>
        <v>#REF!</v>
      </c>
      <c r="B93" s="5">
        <v>90</v>
      </c>
      <c r="C93" s="6" t="s">
        <v>119</v>
      </c>
      <c r="D93" s="7" t="s">
        <v>315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21">
        <v>1</v>
      </c>
      <c r="V93" s="8">
        <v>0</v>
      </c>
      <c r="W93" s="8">
        <v>0</v>
      </c>
      <c r="X93" s="8">
        <v>0</v>
      </c>
      <c r="Y93" s="8">
        <v>0</v>
      </c>
      <c r="Z93" s="21">
        <v>1</v>
      </c>
      <c r="AA93" s="8">
        <v>0</v>
      </c>
      <c r="AB93" s="17">
        <v>0</v>
      </c>
      <c r="AC93" s="8">
        <v>0</v>
      </c>
      <c r="AD93" s="29"/>
      <c r="AE93" s="29"/>
      <c r="AF93" s="29"/>
      <c r="AG93" s="29"/>
      <c r="AH93" s="29"/>
      <c r="AI93" t="str">
        <f t="shared" si="1"/>
        <v xml:space="preserve">2012, 2017, </v>
      </c>
    </row>
    <row r="94" spans="1:35" x14ac:dyDescent="0.2">
      <c r="A94" s="5" t="e">
        <f t="shared" si="2"/>
        <v>#REF!</v>
      </c>
      <c r="B94" s="5">
        <v>91</v>
      </c>
      <c r="C94" s="6" t="s">
        <v>120</v>
      </c>
      <c r="D94" s="7" t="s">
        <v>316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21">
        <v>1</v>
      </c>
      <c r="V94" s="8">
        <v>0</v>
      </c>
      <c r="W94" s="8">
        <v>0</v>
      </c>
      <c r="X94" s="8">
        <v>0</v>
      </c>
      <c r="Y94" s="8">
        <v>0</v>
      </c>
      <c r="Z94" s="17">
        <v>0</v>
      </c>
      <c r="AA94" s="8">
        <v>0</v>
      </c>
      <c r="AB94" s="17">
        <v>0</v>
      </c>
      <c r="AC94" s="8">
        <v>0</v>
      </c>
      <c r="AD94" s="29"/>
      <c r="AE94" s="29"/>
      <c r="AF94" s="29"/>
      <c r="AG94" s="29"/>
      <c r="AH94" s="29"/>
      <c r="AI94" t="str">
        <f t="shared" si="1"/>
        <v xml:space="preserve">2012, </v>
      </c>
    </row>
    <row r="95" spans="1:35" x14ac:dyDescent="0.2">
      <c r="A95" s="5" t="e">
        <f>1+#REF!</f>
        <v>#REF!</v>
      </c>
      <c r="B95" s="5">
        <v>92</v>
      </c>
      <c r="C95" s="6" t="s">
        <v>121</v>
      </c>
      <c r="D95" s="7" t="s">
        <v>317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22">
        <v>1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22">
        <v>1</v>
      </c>
      <c r="AA95" s="22">
        <v>1</v>
      </c>
      <c r="AB95" s="24">
        <v>1</v>
      </c>
      <c r="AC95" s="8">
        <v>0</v>
      </c>
      <c r="AD95" s="29"/>
      <c r="AE95" s="29"/>
      <c r="AF95" s="29"/>
      <c r="AG95" s="29"/>
      <c r="AH95" s="29"/>
      <c r="AI95" t="str">
        <f t="shared" si="1"/>
        <v xml:space="preserve">2009, 2017, 2018, 2019, </v>
      </c>
    </row>
    <row r="96" spans="1:35" x14ac:dyDescent="0.2">
      <c r="A96" s="5" t="e">
        <f t="shared" si="2"/>
        <v>#REF!</v>
      </c>
      <c r="B96" s="5">
        <v>93</v>
      </c>
      <c r="C96" s="6" t="s">
        <v>122</v>
      </c>
      <c r="D96" s="7" t="s">
        <v>318</v>
      </c>
      <c r="E96" s="8">
        <v>0</v>
      </c>
      <c r="F96" s="8">
        <v>0</v>
      </c>
      <c r="G96" s="23">
        <v>1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21">
        <v>1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24">
        <v>1</v>
      </c>
      <c r="AA96" s="8">
        <v>0</v>
      </c>
      <c r="AB96" s="17">
        <v>0</v>
      </c>
      <c r="AC96" s="8">
        <v>0</v>
      </c>
      <c r="AD96" s="29"/>
      <c r="AE96" s="29"/>
      <c r="AF96" s="29"/>
      <c r="AG96" s="29"/>
      <c r="AH96" s="29"/>
      <c r="AI96" t="str">
        <f t="shared" si="1"/>
        <v xml:space="preserve">1998, 2008, 2017, </v>
      </c>
    </row>
    <row r="97" spans="1:35" x14ac:dyDescent="0.2">
      <c r="A97" s="5" t="e">
        <f t="shared" si="2"/>
        <v>#REF!</v>
      </c>
      <c r="B97" s="5">
        <v>94</v>
      </c>
      <c r="C97" s="6" t="s">
        <v>123</v>
      </c>
      <c r="D97" s="7" t="s">
        <v>319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17">
        <v>0</v>
      </c>
      <c r="AA97" s="8">
        <v>0</v>
      </c>
      <c r="AB97" s="17">
        <v>0</v>
      </c>
      <c r="AC97" s="8">
        <v>0</v>
      </c>
      <c r="AD97" s="29"/>
      <c r="AE97" s="29"/>
      <c r="AF97" s="29"/>
      <c r="AG97" s="29"/>
      <c r="AH97" s="29"/>
      <c r="AI97" t="str">
        <f t="shared" si="1"/>
        <v/>
      </c>
    </row>
    <row r="98" spans="1:35" x14ac:dyDescent="0.2">
      <c r="A98" s="5" t="e">
        <f t="shared" si="2"/>
        <v>#REF!</v>
      </c>
      <c r="B98" s="5">
        <v>95</v>
      </c>
      <c r="C98" s="6" t="s">
        <v>124</v>
      </c>
      <c r="D98" s="7" t="s">
        <v>320</v>
      </c>
      <c r="E98" s="8">
        <v>0</v>
      </c>
      <c r="F98" s="8">
        <v>0</v>
      </c>
      <c r="G98" s="8">
        <v>0</v>
      </c>
      <c r="H98" s="23">
        <v>1</v>
      </c>
      <c r="I98" s="8">
        <v>0</v>
      </c>
      <c r="J98" s="23">
        <v>1</v>
      </c>
      <c r="K98" s="8">
        <v>0</v>
      </c>
      <c r="L98" s="23">
        <v>1</v>
      </c>
      <c r="M98" s="8">
        <v>0</v>
      </c>
      <c r="N98" s="21">
        <v>1</v>
      </c>
      <c r="O98" s="21">
        <v>1</v>
      </c>
      <c r="P98" s="21">
        <v>1</v>
      </c>
      <c r="Q98" s="21">
        <v>1</v>
      </c>
      <c r="R98" s="21">
        <v>1</v>
      </c>
      <c r="S98" s="21">
        <v>1</v>
      </c>
      <c r="T98" s="21">
        <v>1</v>
      </c>
      <c r="U98" s="21">
        <v>1</v>
      </c>
      <c r="V98" s="21">
        <v>1</v>
      </c>
      <c r="W98" s="21">
        <v>1</v>
      </c>
      <c r="X98" s="8">
        <v>0</v>
      </c>
      <c r="Y98" s="8">
        <v>0</v>
      </c>
      <c r="Z98" s="24">
        <v>1</v>
      </c>
      <c r="AA98" s="8">
        <v>0</v>
      </c>
      <c r="AB98" s="17">
        <v>0</v>
      </c>
      <c r="AC98" s="8">
        <v>0</v>
      </c>
      <c r="AD98" s="29"/>
      <c r="AE98" s="29"/>
      <c r="AF98" s="29"/>
      <c r="AG98" s="29"/>
      <c r="AH98" s="29"/>
      <c r="AI98" t="str">
        <f t="shared" si="1"/>
        <v xml:space="preserve">1999, 2001, 2003, 2005, 2006, 2007, 2008, 2009, 2010, 2011, 2012, 2013, 2014, 2017, </v>
      </c>
    </row>
    <row r="99" spans="1:35" x14ac:dyDescent="0.2">
      <c r="A99" s="5" t="e">
        <f>1+#REF!</f>
        <v>#REF!</v>
      </c>
      <c r="B99" s="5">
        <v>96</v>
      </c>
      <c r="C99" s="6" t="s">
        <v>125</v>
      </c>
      <c r="D99" s="7" t="s">
        <v>321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21">
        <v>1</v>
      </c>
      <c r="P99" s="21">
        <v>1</v>
      </c>
      <c r="Q99" s="21">
        <v>1</v>
      </c>
      <c r="R99" s="21">
        <v>1</v>
      </c>
      <c r="S99" s="21">
        <v>1</v>
      </c>
      <c r="T99" s="21">
        <v>1</v>
      </c>
      <c r="U99" s="21">
        <v>1</v>
      </c>
      <c r="V99" s="21">
        <v>1</v>
      </c>
      <c r="W99" s="21">
        <v>1</v>
      </c>
      <c r="X99" s="21">
        <v>1</v>
      </c>
      <c r="Y99" s="21">
        <v>1</v>
      </c>
      <c r="Z99" s="25">
        <v>1</v>
      </c>
      <c r="AA99" s="21">
        <v>1</v>
      </c>
      <c r="AB99" s="24">
        <v>1</v>
      </c>
      <c r="AC99" s="22">
        <v>0</v>
      </c>
      <c r="AD99" s="53"/>
      <c r="AE99" s="53"/>
      <c r="AF99" s="53"/>
      <c r="AG99" s="53"/>
      <c r="AH99" s="53"/>
      <c r="AI99" t="str">
        <f t="shared" si="1"/>
        <v xml:space="preserve">2006, 2007, 2008, 2009, 2010, 2011, 2012, 2013, 2014, 2015, 2016, 2017, 2018, 2019, </v>
      </c>
    </row>
    <row r="100" spans="1:35" x14ac:dyDescent="0.2">
      <c r="A100" s="5" t="e">
        <f t="shared" si="2"/>
        <v>#REF!</v>
      </c>
      <c r="B100" s="5">
        <v>97</v>
      </c>
      <c r="C100" s="6" t="s">
        <v>126</v>
      </c>
      <c r="D100" s="7" t="s">
        <v>322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22">
        <v>1</v>
      </c>
      <c r="P100" s="22">
        <v>1</v>
      </c>
      <c r="Q100" s="23">
        <v>1</v>
      </c>
      <c r="R100" s="23">
        <v>1</v>
      </c>
      <c r="S100" s="22">
        <v>1</v>
      </c>
      <c r="T100" s="22">
        <v>1</v>
      </c>
      <c r="U100" s="22">
        <v>1</v>
      </c>
      <c r="V100" s="23">
        <v>1</v>
      </c>
      <c r="W100" s="23">
        <v>1</v>
      </c>
      <c r="X100" s="22">
        <v>1</v>
      </c>
      <c r="Y100" s="22">
        <v>1</v>
      </c>
      <c r="Z100" s="26">
        <v>1</v>
      </c>
      <c r="AA100" s="23">
        <v>1</v>
      </c>
      <c r="AB100" s="24">
        <v>1</v>
      </c>
      <c r="AC100" s="22">
        <v>0</v>
      </c>
      <c r="AD100" s="53"/>
      <c r="AE100" s="53"/>
      <c r="AF100" s="53"/>
      <c r="AG100" s="53"/>
      <c r="AH100" s="53"/>
      <c r="AI100" t="str">
        <f t="shared" si="1"/>
        <v xml:space="preserve">2006, 2007, 2008, 2009, 2010, 2011, 2012, 2013, 2014, 2015, 2016, 2017, 2018, 2019, </v>
      </c>
    </row>
    <row r="101" spans="1:35" x14ac:dyDescent="0.2">
      <c r="A101" s="5" t="e">
        <f t="shared" si="2"/>
        <v>#REF!</v>
      </c>
      <c r="B101" s="5">
        <v>98</v>
      </c>
      <c r="C101" s="6" t="s">
        <v>127</v>
      </c>
      <c r="D101" s="7" t="s">
        <v>323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21">
        <v>1</v>
      </c>
      <c r="K101" s="21">
        <v>1</v>
      </c>
      <c r="L101" s="21">
        <v>1</v>
      </c>
      <c r="M101" s="21">
        <v>1</v>
      </c>
      <c r="N101" s="21">
        <v>1</v>
      </c>
      <c r="O101" s="21">
        <v>1</v>
      </c>
      <c r="P101" s="21">
        <v>1</v>
      </c>
      <c r="Q101" s="21">
        <v>1</v>
      </c>
      <c r="R101" s="21">
        <v>1</v>
      </c>
      <c r="S101" s="21">
        <v>1</v>
      </c>
      <c r="T101" s="21">
        <v>1</v>
      </c>
      <c r="U101" s="21">
        <v>1</v>
      </c>
      <c r="V101" s="21">
        <v>1</v>
      </c>
      <c r="W101" s="21">
        <v>1</v>
      </c>
      <c r="X101" s="21">
        <v>1</v>
      </c>
      <c r="Y101" s="21">
        <v>1</v>
      </c>
      <c r="Z101" s="21">
        <v>1</v>
      </c>
      <c r="AA101" s="21">
        <v>1</v>
      </c>
      <c r="AB101" s="25">
        <v>1</v>
      </c>
      <c r="AC101" s="8">
        <v>0</v>
      </c>
      <c r="AD101" s="29"/>
      <c r="AE101" s="29"/>
      <c r="AF101" s="29"/>
      <c r="AG101" s="29"/>
      <c r="AH101" s="29"/>
      <c r="AI101" t="str">
        <f t="shared" si="1"/>
        <v xml:space="preserve">2001, 2002, 2003, 2004, 2005, 2006, 2007, 2008, 2009, 2010, 2011, 2012, 2013, 2014, 2015, 2016, 2017, 2018, 2019, </v>
      </c>
    </row>
    <row r="102" spans="1:35" x14ac:dyDescent="0.2">
      <c r="A102" s="5" t="e">
        <f t="shared" si="2"/>
        <v>#REF!</v>
      </c>
      <c r="B102" s="5">
        <v>99</v>
      </c>
      <c r="C102" s="6" t="s">
        <v>128</v>
      </c>
      <c r="D102" s="7" t="s">
        <v>324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17">
        <v>0</v>
      </c>
      <c r="AA102" s="8">
        <v>0</v>
      </c>
      <c r="AB102" s="17">
        <v>0</v>
      </c>
      <c r="AC102" s="8">
        <v>0</v>
      </c>
      <c r="AD102" s="29"/>
      <c r="AE102" s="29"/>
      <c r="AF102" s="29"/>
      <c r="AG102" s="29"/>
      <c r="AH102" s="29"/>
      <c r="AI102" t="str">
        <f t="shared" si="1"/>
        <v/>
      </c>
    </row>
    <row r="103" spans="1:35" x14ac:dyDescent="0.2">
      <c r="A103" s="5" t="e">
        <f t="shared" si="2"/>
        <v>#REF!</v>
      </c>
      <c r="B103" s="5">
        <v>100</v>
      </c>
      <c r="C103" s="9" t="s">
        <v>129</v>
      </c>
      <c r="D103" s="10" t="s">
        <v>325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17">
        <v>0</v>
      </c>
      <c r="AA103" s="8">
        <v>0</v>
      </c>
      <c r="AB103" s="17">
        <v>0</v>
      </c>
      <c r="AC103" s="8">
        <v>0</v>
      </c>
      <c r="AD103" s="29"/>
      <c r="AE103" s="29"/>
      <c r="AF103" s="29"/>
      <c r="AG103" s="29"/>
      <c r="AH103" s="29"/>
      <c r="AI103" t="str">
        <f t="shared" si="1"/>
        <v/>
      </c>
    </row>
    <row r="104" spans="1:35" x14ac:dyDescent="0.2">
      <c r="A104" s="5" t="e">
        <f t="shared" si="2"/>
        <v>#REF!</v>
      </c>
      <c r="B104" s="5">
        <v>101</v>
      </c>
      <c r="C104" s="6" t="s">
        <v>130</v>
      </c>
      <c r="D104" s="7" t="s">
        <v>326</v>
      </c>
      <c r="E104" s="8">
        <v>0</v>
      </c>
      <c r="F104" s="23">
        <v>1</v>
      </c>
      <c r="G104" s="23">
        <v>1</v>
      </c>
      <c r="H104" s="23">
        <v>1</v>
      </c>
      <c r="I104" s="23">
        <v>1</v>
      </c>
      <c r="J104" s="23">
        <v>1</v>
      </c>
      <c r="K104" s="23">
        <v>1</v>
      </c>
      <c r="L104" s="23">
        <v>1</v>
      </c>
      <c r="M104" s="23">
        <v>1</v>
      </c>
      <c r="N104" s="23">
        <v>1</v>
      </c>
      <c r="O104" s="23">
        <v>1</v>
      </c>
      <c r="P104" s="23">
        <v>1</v>
      </c>
      <c r="Q104" s="23">
        <v>1</v>
      </c>
      <c r="R104" s="23">
        <v>1</v>
      </c>
      <c r="S104" s="23">
        <v>1</v>
      </c>
      <c r="T104" s="21">
        <v>1</v>
      </c>
      <c r="U104" s="23">
        <v>1</v>
      </c>
      <c r="V104" s="23">
        <v>1</v>
      </c>
      <c r="W104" s="8">
        <v>0</v>
      </c>
      <c r="X104" s="21">
        <v>1</v>
      </c>
      <c r="Y104" s="21">
        <v>1</v>
      </c>
      <c r="Z104" s="21">
        <v>1</v>
      </c>
      <c r="AA104" s="21">
        <v>1</v>
      </c>
      <c r="AB104" s="25">
        <v>1</v>
      </c>
      <c r="AC104" s="8">
        <v>1</v>
      </c>
      <c r="AD104" s="21">
        <v>1</v>
      </c>
      <c r="AE104" s="25">
        <v>1</v>
      </c>
      <c r="AF104" s="29"/>
      <c r="AG104" s="29"/>
      <c r="AH104" s="29"/>
      <c r="AI104" t="str">
        <f t="shared" si="1"/>
        <v xml:space="preserve">1997, 1998, 1999, 2000, 2001, 2002, 2003, 2004, 2005, 2006, 2007, 2008, 2009, 2010, 2011, 2012, 2013, 2015, 2016, 2017, 2018, 2019, 2020, 2021, 2022, </v>
      </c>
    </row>
    <row r="105" spans="1:35" x14ac:dyDescent="0.2">
      <c r="A105" s="5" t="e">
        <f t="shared" si="2"/>
        <v>#REF!</v>
      </c>
      <c r="B105" s="5">
        <v>102</v>
      </c>
      <c r="C105" s="6" t="s">
        <v>131</v>
      </c>
      <c r="D105" s="7" t="s">
        <v>327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1</v>
      </c>
      <c r="R105" s="8">
        <v>1</v>
      </c>
      <c r="S105" s="22">
        <v>1</v>
      </c>
      <c r="T105" s="23">
        <v>1</v>
      </c>
      <c r="U105" s="23">
        <v>1</v>
      </c>
      <c r="V105" s="23">
        <v>1</v>
      </c>
      <c r="W105" s="23">
        <v>1</v>
      </c>
      <c r="X105" s="23">
        <v>1</v>
      </c>
      <c r="Y105" s="23">
        <v>1</v>
      </c>
      <c r="Z105" s="24">
        <v>1</v>
      </c>
      <c r="AA105" s="8">
        <v>0</v>
      </c>
      <c r="AB105" s="17">
        <v>0</v>
      </c>
      <c r="AC105" s="8">
        <v>0</v>
      </c>
      <c r="AD105" s="29"/>
      <c r="AE105" s="29"/>
      <c r="AF105" s="29"/>
      <c r="AG105" s="29"/>
      <c r="AH105" s="29"/>
      <c r="AI105" t="str">
        <f t="shared" si="1"/>
        <v xml:space="preserve">2008, 2009, 2010, 2011, 2012, 2013, 2014, 2015, 2016, 2017, </v>
      </c>
    </row>
    <row r="106" spans="1:35" x14ac:dyDescent="0.2">
      <c r="A106" s="5" t="e">
        <f t="shared" si="2"/>
        <v>#REF!</v>
      </c>
      <c r="B106" s="5">
        <v>103</v>
      </c>
      <c r="C106" s="28" t="s">
        <v>132</v>
      </c>
      <c r="D106" s="28" t="s">
        <v>328</v>
      </c>
      <c r="E106" s="21">
        <v>1</v>
      </c>
      <c r="F106" s="21">
        <v>1</v>
      </c>
      <c r="G106" s="21">
        <v>1</v>
      </c>
      <c r="H106" s="21">
        <v>1</v>
      </c>
      <c r="I106" s="21">
        <v>1</v>
      </c>
      <c r="J106" s="21">
        <v>1</v>
      </c>
      <c r="K106" s="21">
        <v>1</v>
      </c>
      <c r="L106" s="21">
        <v>1</v>
      </c>
      <c r="M106" s="21">
        <v>1</v>
      </c>
      <c r="N106" s="21">
        <v>1</v>
      </c>
      <c r="O106" s="21">
        <v>1</v>
      </c>
      <c r="P106" s="21">
        <v>1</v>
      </c>
      <c r="Q106" s="21">
        <v>1</v>
      </c>
      <c r="R106" s="21">
        <v>1</v>
      </c>
      <c r="S106" s="21">
        <v>1</v>
      </c>
      <c r="T106" s="21">
        <v>1</v>
      </c>
      <c r="U106" s="21">
        <v>1</v>
      </c>
      <c r="V106" s="21">
        <v>1</v>
      </c>
      <c r="W106" s="21">
        <v>1</v>
      </c>
      <c r="X106" s="21">
        <v>1</v>
      </c>
      <c r="Y106" s="21">
        <v>1</v>
      </c>
      <c r="Z106" s="21">
        <v>1</v>
      </c>
      <c r="AA106" s="21">
        <v>1</v>
      </c>
      <c r="AB106" s="25">
        <v>1</v>
      </c>
      <c r="AC106" s="8">
        <v>0</v>
      </c>
      <c r="AD106" s="29"/>
      <c r="AE106" s="29"/>
      <c r="AF106" s="29"/>
      <c r="AG106" s="29"/>
      <c r="AH106" s="29"/>
      <c r="AI106" t="str">
        <f t="shared" si="1"/>
        <v xml:space="preserve">1996, 1997, 1998, 1999, 2000, 2001, 2002, 2003, 2004, 2005, 2006, 2007, 2008, 2009, 2010, 2011, 2012, 2013, 2014, 2015, 2016, 2017, 2018, 2019, </v>
      </c>
    </row>
    <row r="107" spans="1:35" x14ac:dyDescent="0.2">
      <c r="A107" s="5" t="e">
        <f>1+#REF!</f>
        <v>#REF!</v>
      </c>
      <c r="B107" s="5">
        <v>104</v>
      </c>
      <c r="C107" s="9" t="s">
        <v>133</v>
      </c>
      <c r="D107" s="10" t="s">
        <v>329</v>
      </c>
      <c r="E107" s="8">
        <v>0</v>
      </c>
      <c r="F107" s="23">
        <v>1</v>
      </c>
      <c r="G107" s="23">
        <v>1</v>
      </c>
      <c r="H107" s="23">
        <v>1</v>
      </c>
      <c r="I107" s="21">
        <v>1</v>
      </c>
      <c r="J107" s="21">
        <v>1</v>
      </c>
      <c r="K107" s="21">
        <v>1</v>
      </c>
      <c r="L107" s="21">
        <v>1</v>
      </c>
      <c r="M107" s="21">
        <v>1</v>
      </c>
      <c r="N107" s="21">
        <v>1</v>
      </c>
      <c r="O107" s="21">
        <v>1</v>
      </c>
      <c r="P107" s="21">
        <v>1</v>
      </c>
      <c r="Q107" s="21">
        <v>1</v>
      </c>
      <c r="R107" s="21">
        <v>1</v>
      </c>
      <c r="S107" s="21">
        <v>1</v>
      </c>
      <c r="T107" s="21">
        <v>1</v>
      </c>
      <c r="U107" s="21">
        <v>1</v>
      </c>
      <c r="V107" s="21">
        <v>1</v>
      </c>
      <c r="W107" s="21">
        <v>1</v>
      </c>
      <c r="X107" s="21">
        <v>1</v>
      </c>
      <c r="Y107" s="21">
        <v>1</v>
      </c>
      <c r="Z107" s="21">
        <v>1</v>
      </c>
      <c r="AA107" s="21">
        <v>1</v>
      </c>
      <c r="AB107" s="24">
        <v>1</v>
      </c>
      <c r="AC107" s="8">
        <v>1</v>
      </c>
      <c r="AD107" s="21">
        <v>1</v>
      </c>
      <c r="AE107" s="25">
        <v>1</v>
      </c>
      <c r="AF107" s="29"/>
      <c r="AG107" s="29"/>
      <c r="AH107" s="29"/>
      <c r="AI107" t="str">
        <f t="shared" si="1"/>
        <v xml:space="preserve">1997, 1998, 1999, 2000, 2001, 2002, 2003, 2004, 2005, 2006, 2007, 2008, 2009, 2010, 2011, 2012, 2013, 2014, 2015, 2016, 2017, 2018, 2019, 2020, 2021, 2022, </v>
      </c>
    </row>
    <row r="108" spans="1:35" x14ac:dyDescent="0.2">
      <c r="A108" s="5" t="e">
        <f t="shared" si="2"/>
        <v>#REF!</v>
      </c>
      <c r="B108" s="5">
        <v>105</v>
      </c>
      <c r="C108" s="6" t="s">
        <v>134</v>
      </c>
      <c r="D108" s="7" t="s">
        <v>330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22">
        <v>1</v>
      </c>
      <c r="P108" s="22">
        <v>1</v>
      </c>
      <c r="Q108" s="22">
        <v>1</v>
      </c>
      <c r="R108" s="22">
        <v>1</v>
      </c>
      <c r="S108" s="22">
        <v>1</v>
      </c>
      <c r="T108" s="22">
        <v>1</v>
      </c>
      <c r="U108" s="22">
        <v>1</v>
      </c>
      <c r="V108" s="22">
        <v>1</v>
      </c>
      <c r="W108" s="22">
        <v>1</v>
      </c>
      <c r="X108" s="22">
        <v>1</v>
      </c>
      <c r="Y108" s="23">
        <v>1</v>
      </c>
      <c r="Z108" s="26">
        <v>1</v>
      </c>
      <c r="AA108" s="22">
        <v>1</v>
      </c>
      <c r="AB108" s="24">
        <v>1</v>
      </c>
      <c r="AC108" s="22">
        <v>1</v>
      </c>
      <c r="AD108" s="53"/>
      <c r="AE108" s="53"/>
      <c r="AF108" s="53"/>
      <c r="AG108" s="53"/>
      <c r="AH108" s="53"/>
      <c r="AI108" t="str">
        <f t="shared" si="1"/>
        <v xml:space="preserve">2006, 2007, 2008, 2009, 2010, 2011, 2012, 2013, 2014, 2015, 2016, 2017, 2018, 2019, 2020, </v>
      </c>
    </row>
    <row r="109" spans="1:35" x14ac:dyDescent="0.2">
      <c r="A109" s="5" t="e">
        <f t="shared" si="2"/>
        <v>#REF!</v>
      </c>
      <c r="B109" s="5">
        <v>106</v>
      </c>
      <c r="C109" s="6" t="s">
        <v>135</v>
      </c>
      <c r="D109" s="7" t="s">
        <v>331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23">
        <v>1</v>
      </c>
      <c r="U109" s="8">
        <v>0</v>
      </c>
      <c r="V109" s="8">
        <v>0</v>
      </c>
      <c r="W109" s="8">
        <v>0</v>
      </c>
      <c r="X109" s="8">
        <v>0</v>
      </c>
      <c r="Y109" s="22">
        <v>1</v>
      </c>
      <c r="Z109" s="21">
        <v>1</v>
      </c>
      <c r="AA109" s="21">
        <v>1</v>
      </c>
      <c r="AB109" s="25">
        <v>1</v>
      </c>
      <c r="AC109" s="22">
        <v>1</v>
      </c>
      <c r="AD109" s="53"/>
      <c r="AE109" s="53"/>
      <c r="AF109" s="53"/>
      <c r="AG109" s="53"/>
      <c r="AH109" s="53"/>
      <c r="AI109" t="str">
        <f t="shared" si="1"/>
        <v xml:space="preserve">2011, 2016, 2017, 2018, 2019, 2020, </v>
      </c>
    </row>
    <row r="110" spans="1:35" x14ac:dyDescent="0.2">
      <c r="A110" s="5" t="e">
        <f t="shared" si="2"/>
        <v>#REF!</v>
      </c>
      <c r="B110" s="5">
        <v>107</v>
      </c>
      <c r="C110" s="6" t="s">
        <v>136</v>
      </c>
      <c r="D110" s="7" t="s">
        <v>332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21">
        <v>1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17">
        <v>0</v>
      </c>
      <c r="AA110" s="8">
        <v>0</v>
      </c>
      <c r="AB110" s="17">
        <v>0</v>
      </c>
      <c r="AC110" s="8">
        <v>0</v>
      </c>
      <c r="AD110" s="29"/>
      <c r="AE110" s="29"/>
      <c r="AF110" s="29"/>
      <c r="AG110" s="29"/>
      <c r="AH110" s="29"/>
      <c r="AI110" t="str">
        <f t="shared" si="1"/>
        <v xml:space="preserve">2011, </v>
      </c>
    </row>
    <row r="111" spans="1:35" x14ac:dyDescent="0.2">
      <c r="A111" s="5" t="e">
        <f>1+#REF!</f>
        <v>#REF!</v>
      </c>
      <c r="B111" s="5">
        <v>108</v>
      </c>
      <c r="C111" s="6" t="s">
        <v>137</v>
      </c>
      <c r="D111" s="7" t="s">
        <v>333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21">
        <v>1</v>
      </c>
      <c r="Y111" s="8">
        <v>0</v>
      </c>
      <c r="Z111" s="24">
        <v>1</v>
      </c>
      <c r="AA111" s="22">
        <v>1</v>
      </c>
      <c r="AB111" s="24">
        <v>1</v>
      </c>
      <c r="AC111" s="8">
        <v>0</v>
      </c>
      <c r="AD111" s="29"/>
      <c r="AE111" s="29"/>
      <c r="AF111" s="29"/>
      <c r="AG111" s="29"/>
      <c r="AH111" s="29"/>
      <c r="AI111" t="str">
        <f t="shared" si="1"/>
        <v xml:space="preserve">2015, 2017, 2018, 2019, </v>
      </c>
    </row>
    <row r="112" spans="1:35" x14ac:dyDescent="0.2">
      <c r="A112" s="5" t="e">
        <f>1+#REF!</f>
        <v>#REF!</v>
      </c>
      <c r="B112" s="5">
        <v>109</v>
      </c>
      <c r="C112" s="11" t="s">
        <v>138</v>
      </c>
      <c r="D112" s="12" t="s">
        <v>334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17">
        <v>0</v>
      </c>
      <c r="AA112" s="8">
        <v>0</v>
      </c>
      <c r="AB112" s="17">
        <v>0</v>
      </c>
      <c r="AC112" s="8">
        <v>0</v>
      </c>
      <c r="AD112" s="29"/>
      <c r="AE112" s="29"/>
      <c r="AF112" s="29"/>
      <c r="AG112" s="29"/>
      <c r="AH112" s="29"/>
      <c r="AI112" t="str">
        <f t="shared" si="1"/>
        <v/>
      </c>
    </row>
    <row r="113" spans="1:35" x14ac:dyDescent="0.2">
      <c r="A113" s="5" t="e">
        <f t="shared" si="2"/>
        <v>#REF!</v>
      </c>
      <c r="B113" s="5">
        <v>110</v>
      </c>
      <c r="C113" s="13" t="s">
        <v>139</v>
      </c>
      <c r="D113" s="12" t="s">
        <v>335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21">
        <v>1</v>
      </c>
      <c r="X113" s="8">
        <v>0</v>
      </c>
      <c r="Y113" s="8">
        <v>0</v>
      </c>
      <c r="Z113" s="17">
        <v>0</v>
      </c>
      <c r="AA113" s="8">
        <v>0</v>
      </c>
      <c r="AB113" s="17">
        <v>0</v>
      </c>
      <c r="AC113" s="8">
        <v>0</v>
      </c>
      <c r="AD113" s="29"/>
      <c r="AE113" s="29"/>
      <c r="AF113" s="29"/>
      <c r="AG113" s="29"/>
      <c r="AH113" s="29"/>
      <c r="AI113" t="str">
        <f t="shared" si="1"/>
        <v xml:space="preserve">2014, </v>
      </c>
    </row>
    <row r="114" spans="1:35" x14ac:dyDescent="0.2">
      <c r="A114" s="5" t="e">
        <f t="shared" si="2"/>
        <v>#REF!</v>
      </c>
      <c r="B114" s="5">
        <v>111</v>
      </c>
      <c r="C114" s="6" t="s">
        <v>140</v>
      </c>
      <c r="D114" s="7" t="s">
        <v>336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17">
        <v>0</v>
      </c>
      <c r="AA114" s="8">
        <v>0</v>
      </c>
      <c r="AB114" s="17">
        <v>0</v>
      </c>
      <c r="AC114" s="8">
        <v>0</v>
      </c>
      <c r="AD114" s="29"/>
      <c r="AE114" s="29"/>
      <c r="AF114" s="29"/>
      <c r="AG114" s="29"/>
      <c r="AH114" s="29"/>
      <c r="AI114" t="str">
        <f t="shared" si="1"/>
        <v/>
      </c>
    </row>
    <row r="115" spans="1:35" x14ac:dyDescent="0.2">
      <c r="A115" s="5" t="e">
        <f t="shared" si="2"/>
        <v>#REF!</v>
      </c>
      <c r="B115" s="5">
        <v>112</v>
      </c>
      <c r="C115" s="6" t="s">
        <v>141</v>
      </c>
      <c r="D115" s="7" t="s">
        <v>337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17">
        <v>0</v>
      </c>
      <c r="AA115" s="8">
        <v>0</v>
      </c>
      <c r="AB115" s="17">
        <v>0</v>
      </c>
      <c r="AC115" s="8">
        <v>0</v>
      </c>
      <c r="AD115" s="29"/>
      <c r="AE115" s="29"/>
      <c r="AF115" s="29"/>
      <c r="AG115" s="29"/>
      <c r="AH115" s="29"/>
      <c r="AI115" t="str">
        <f t="shared" si="1"/>
        <v/>
      </c>
    </row>
    <row r="116" spans="1:35" x14ac:dyDescent="0.2">
      <c r="A116" s="5" t="e">
        <f>1+#REF!</f>
        <v>#REF!</v>
      </c>
      <c r="B116" s="5">
        <v>113</v>
      </c>
      <c r="C116" s="9" t="s">
        <v>142</v>
      </c>
      <c r="D116" s="10" t="s">
        <v>338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21">
        <v>1</v>
      </c>
      <c r="R116" s="21">
        <v>1</v>
      </c>
      <c r="S116" s="21">
        <v>1</v>
      </c>
      <c r="T116" s="21">
        <v>1</v>
      </c>
      <c r="U116" s="21">
        <v>1</v>
      </c>
      <c r="V116" s="21">
        <v>1</v>
      </c>
      <c r="W116" s="21">
        <v>1</v>
      </c>
      <c r="X116" s="21">
        <v>1</v>
      </c>
      <c r="Y116" s="21">
        <v>1</v>
      </c>
      <c r="Z116" s="25">
        <v>1</v>
      </c>
      <c r="AA116" s="25">
        <v>1</v>
      </c>
      <c r="AB116" s="25">
        <v>1</v>
      </c>
      <c r="AC116" s="8">
        <v>0</v>
      </c>
      <c r="AD116" s="29"/>
      <c r="AE116" s="29"/>
      <c r="AF116" s="29"/>
      <c r="AG116" s="29"/>
      <c r="AH116" s="29"/>
      <c r="AI116" t="str">
        <f t="shared" si="1"/>
        <v xml:space="preserve">2008, 2009, 2010, 2011, 2012, 2013, 2014, 2015, 2016, 2017, 2018, 2019, </v>
      </c>
    </row>
    <row r="117" spans="1:35" x14ac:dyDescent="0.2">
      <c r="A117" s="5" t="e">
        <f t="shared" si="2"/>
        <v>#REF!</v>
      </c>
      <c r="B117" s="5">
        <v>114</v>
      </c>
      <c r="C117" s="13" t="s">
        <v>143</v>
      </c>
      <c r="D117" s="12" t="s">
        <v>339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17">
        <v>0</v>
      </c>
      <c r="AA117" s="8">
        <v>0</v>
      </c>
      <c r="AB117" s="17">
        <v>0</v>
      </c>
      <c r="AC117" s="8">
        <v>0</v>
      </c>
      <c r="AD117" s="29"/>
      <c r="AE117" s="29"/>
      <c r="AF117" s="29"/>
      <c r="AG117" s="29"/>
      <c r="AH117" s="29"/>
      <c r="AI117" t="str">
        <f t="shared" si="1"/>
        <v/>
      </c>
    </row>
    <row r="118" spans="1:35" x14ac:dyDescent="0.2">
      <c r="A118" s="5" t="e">
        <f t="shared" si="2"/>
        <v>#REF!</v>
      </c>
      <c r="B118" s="5">
        <v>115</v>
      </c>
      <c r="C118" s="6" t="s">
        <v>144</v>
      </c>
      <c r="D118" s="12" t="s">
        <v>340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17">
        <v>0</v>
      </c>
      <c r="AA118" s="8">
        <v>0</v>
      </c>
      <c r="AB118" s="17">
        <v>0</v>
      </c>
      <c r="AC118" s="8">
        <v>0</v>
      </c>
      <c r="AD118" s="29"/>
      <c r="AE118" s="29"/>
      <c r="AF118" s="29"/>
      <c r="AG118" s="29"/>
      <c r="AH118" s="29"/>
      <c r="AI118" t="str">
        <f t="shared" si="1"/>
        <v/>
      </c>
    </row>
    <row r="119" spans="1:35" x14ac:dyDescent="0.2">
      <c r="A119" s="5" t="e">
        <f t="shared" si="2"/>
        <v>#REF!</v>
      </c>
      <c r="B119" s="5">
        <v>116</v>
      </c>
      <c r="C119" s="6" t="s">
        <v>145</v>
      </c>
      <c r="D119" s="7" t="s">
        <v>341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17">
        <v>0</v>
      </c>
      <c r="AA119" s="8">
        <v>0</v>
      </c>
      <c r="AB119" s="17">
        <v>0</v>
      </c>
      <c r="AC119" s="8">
        <v>0</v>
      </c>
      <c r="AD119" s="29"/>
      <c r="AE119" s="29"/>
      <c r="AF119" s="29"/>
      <c r="AG119" s="29"/>
      <c r="AH119" s="29"/>
      <c r="AI119" t="str">
        <f t="shared" si="1"/>
        <v/>
      </c>
    </row>
    <row r="120" spans="1:35" x14ac:dyDescent="0.2">
      <c r="A120" s="5" t="e">
        <f>1+#REF!</f>
        <v>#REF!</v>
      </c>
      <c r="B120" s="5">
        <v>117</v>
      </c>
      <c r="C120" s="6" t="s">
        <v>146</v>
      </c>
      <c r="D120" s="7" t="s">
        <v>342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21">
        <v>1</v>
      </c>
      <c r="Z120" s="17">
        <v>0</v>
      </c>
      <c r="AA120" s="8">
        <v>0</v>
      </c>
      <c r="AB120" s="17">
        <v>0</v>
      </c>
      <c r="AC120" s="8">
        <v>0</v>
      </c>
      <c r="AD120" s="29"/>
      <c r="AE120" s="29"/>
      <c r="AF120" s="29"/>
      <c r="AG120" s="29"/>
      <c r="AH120" s="29"/>
      <c r="AI120" t="str">
        <f t="shared" si="1"/>
        <v xml:space="preserve">2016, </v>
      </c>
    </row>
    <row r="121" spans="1:35" x14ac:dyDescent="0.2">
      <c r="A121" s="5" t="e">
        <f t="shared" si="2"/>
        <v>#REF!</v>
      </c>
      <c r="B121" s="5">
        <v>118</v>
      </c>
      <c r="C121" s="6" t="s">
        <v>147</v>
      </c>
      <c r="D121" s="7" t="s">
        <v>343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21">
        <v>1</v>
      </c>
      <c r="X121" s="21">
        <v>1</v>
      </c>
      <c r="Y121" s="21">
        <v>1</v>
      </c>
      <c r="Z121" s="21">
        <v>1</v>
      </c>
      <c r="AA121" s="21">
        <v>1</v>
      </c>
      <c r="AB121" s="25">
        <v>1</v>
      </c>
      <c r="AC121" s="8">
        <v>0</v>
      </c>
      <c r="AD121" s="29"/>
      <c r="AE121" s="29"/>
      <c r="AF121" s="29"/>
      <c r="AG121" s="29"/>
      <c r="AH121" s="29"/>
      <c r="AI121" t="str">
        <f t="shared" si="1"/>
        <v xml:space="preserve">2014, 2015, 2016, 2017, 2018, 2019, </v>
      </c>
    </row>
    <row r="122" spans="1:35" x14ac:dyDescent="0.2">
      <c r="A122" s="5" t="e">
        <f t="shared" si="2"/>
        <v>#REF!</v>
      </c>
      <c r="B122" s="5">
        <v>119</v>
      </c>
      <c r="C122" s="13" t="s">
        <v>148</v>
      </c>
      <c r="D122" s="7" t="s">
        <v>344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22">
        <v>1</v>
      </c>
      <c r="P122" s="22">
        <v>1</v>
      </c>
      <c r="Q122" s="22">
        <v>1</v>
      </c>
      <c r="R122" s="22">
        <v>1</v>
      </c>
      <c r="S122" s="22">
        <v>1</v>
      </c>
      <c r="T122" s="22">
        <v>1</v>
      </c>
      <c r="U122" s="22">
        <v>1</v>
      </c>
      <c r="V122" s="8">
        <v>0</v>
      </c>
      <c r="W122" s="8">
        <v>0</v>
      </c>
      <c r="X122" s="8">
        <v>0</v>
      </c>
      <c r="Y122" s="8">
        <v>0</v>
      </c>
      <c r="Z122" s="17">
        <v>0</v>
      </c>
      <c r="AA122" s="8">
        <v>0</v>
      </c>
      <c r="AB122" s="17">
        <v>0</v>
      </c>
      <c r="AC122" s="8">
        <v>0</v>
      </c>
      <c r="AD122" s="29"/>
      <c r="AE122" s="29"/>
      <c r="AF122" s="29"/>
      <c r="AG122" s="29"/>
      <c r="AH122" s="29"/>
      <c r="AI122" t="str">
        <f t="shared" si="1"/>
        <v xml:space="preserve">2006, 2007, 2008, 2009, 2010, 2011, 2012, </v>
      </c>
    </row>
    <row r="123" spans="1:35" x14ac:dyDescent="0.2">
      <c r="A123" s="5" t="e">
        <f t="shared" si="2"/>
        <v>#REF!</v>
      </c>
      <c r="B123" s="5">
        <v>120</v>
      </c>
      <c r="C123" s="6" t="s">
        <v>149</v>
      </c>
      <c r="D123" s="7" t="s">
        <v>345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17">
        <v>0</v>
      </c>
      <c r="AA123" s="8">
        <v>0</v>
      </c>
      <c r="AB123" s="17">
        <v>0</v>
      </c>
      <c r="AC123" s="8">
        <v>0</v>
      </c>
      <c r="AD123" s="29"/>
      <c r="AE123" s="29"/>
      <c r="AF123" s="29"/>
      <c r="AG123" s="29"/>
      <c r="AH123" s="29"/>
      <c r="AI123" t="str">
        <f t="shared" si="1"/>
        <v/>
      </c>
    </row>
    <row r="124" spans="1:35" x14ac:dyDescent="0.2">
      <c r="A124" s="5" t="e">
        <f t="shared" si="2"/>
        <v>#REF!</v>
      </c>
      <c r="B124" s="5">
        <v>121</v>
      </c>
      <c r="C124" s="13" t="s">
        <v>150</v>
      </c>
      <c r="D124" s="7" t="s">
        <v>346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21">
        <v>1</v>
      </c>
      <c r="AA124" s="8">
        <v>0</v>
      </c>
      <c r="AB124" s="17">
        <v>0</v>
      </c>
      <c r="AC124" s="8">
        <v>0</v>
      </c>
      <c r="AD124" s="29"/>
      <c r="AE124" s="29"/>
      <c r="AF124" s="29"/>
      <c r="AG124" s="29"/>
      <c r="AH124" s="29"/>
      <c r="AI124" t="str">
        <f t="shared" si="1"/>
        <v xml:space="preserve">2017, </v>
      </c>
    </row>
    <row r="125" spans="1:35" x14ac:dyDescent="0.2">
      <c r="A125" s="5" t="e">
        <f t="shared" si="2"/>
        <v>#REF!</v>
      </c>
      <c r="B125" s="5">
        <v>122</v>
      </c>
      <c r="C125" s="13" t="s">
        <v>151</v>
      </c>
      <c r="D125" s="7" t="s">
        <v>347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1</v>
      </c>
      <c r="M125" s="8">
        <v>0</v>
      </c>
      <c r="N125" s="21">
        <v>1</v>
      </c>
      <c r="O125" s="21">
        <v>1</v>
      </c>
      <c r="P125" s="21">
        <v>1</v>
      </c>
      <c r="Q125" s="21">
        <v>1</v>
      </c>
      <c r="R125" s="21">
        <v>1</v>
      </c>
      <c r="S125" s="21">
        <v>1</v>
      </c>
      <c r="T125" s="23">
        <v>1</v>
      </c>
      <c r="U125" s="23">
        <v>1</v>
      </c>
      <c r="V125" s="21">
        <v>1</v>
      </c>
      <c r="W125" s="21">
        <v>1</v>
      </c>
      <c r="X125" s="21">
        <v>1</v>
      </c>
      <c r="Y125" s="21">
        <v>1</v>
      </c>
      <c r="Z125" s="21">
        <v>1</v>
      </c>
      <c r="AA125" s="21">
        <v>1</v>
      </c>
      <c r="AB125" s="24">
        <v>1</v>
      </c>
      <c r="AC125" s="22">
        <v>0</v>
      </c>
      <c r="AD125" s="53"/>
      <c r="AE125" s="53"/>
      <c r="AF125" s="53"/>
      <c r="AG125" s="53"/>
      <c r="AH125" s="53"/>
      <c r="AI125" t="str">
        <f t="shared" si="1"/>
        <v xml:space="preserve">2003, 2005, 2006, 2007, 2008, 2009, 2010, 2011, 2012, 2013, 2014, 2015, 2016, 2017, 2018, 2019, </v>
      </c>
    </row>
    <row r="126" spans="1:35" x14ac:dyDescent="0.2">
      <c r="A126" s="5" t="e">
        <f>1+#REF!</f>
        <v>#REF!</v>
      </c>
      <c r="B126" s="5">
        <v>123</v>
      </c>
      <c r="C126" s="13" t="s">
        <v>152</v>
      </c>
      <c r="D126" s="12" t="s">
        <v>348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23">
        <v>1</v>
      </c>
      <c r="N126" s="8">
        <v>0</v>
      </c>
      <c r="O126" s="8">
        <v>0</v>
      </c>
      <c r="P126" s="8">
        <v>0</v>
      </c>
      <c r="Q126" s="8">
        <v>0</v>
      </c>
      <c r="R126" s="23">
        <v>1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17">
        <v>0</v>
      </c>
      <c r="AA126" s="8">
        <v>0</v>
      </c>
      <c r="AB126" s="17">
        <v>0</v>
      </c>
      <c r="AC126" s="8">
        <v>0</v>
      </c>
      <c r="AD126" s="29"/>
      <c r="AE126" s="29"/>
      <c r="AF126" s="29"/>
      <c r="AG126" s="29"/>
      <c r="AH126" s="29"/>
      <c r="AI126" t="str">
        <f t="shared" si="1"/>
        <v xml:space="preserve">2004, 2009, </v>
      </c>
    </row>
    <row r="127" spans="1:35" x14ac:dyDescent="0.2">
      <c r="A127" s="5" t="e">
        <f t="shared" ref="A127:A148" si="3">1+A126</f>
        <v>#REF!</v>
      </c>
      <c r="B127" s="5">
        <v>124</v>
      </c>
      <c r="C127" s="13" t="s">
        <v>153</v>
      </c>
      <c r="D127" s="12" t="s">
        <v>349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17">
        <v>0</v>
      </c>
      <c r="AA127" s="8">
        <v>0</v>
      </c>
      <c r="AB127" s="17">
        <v>0</v>
      </c>
      <c r="AC127" s="8">
        <v>0</v>
      </c>
      <c r="AD127" s="29"/>
      <c r="AE127" s="29"/>
      <c r="AF127" s="29"/>
      <c r="AG127" s="29"/>
      <c r="AH127" s="29"/>
      <c r="AI127" t="str">
        <f t="shared" si="1"/>
        <v/>
      </c>
    </row>
    <row r="128" spans="1:35" x14ac:dyDescent="0.2">
      <c r="A128" s="5" t="e">
        <f t="shared" si="3"/>
        <v>#REF!</v>
      </c>
      <c r="B128" s="5">
        <v>125</v>
      </c>
      <c r="C128" s="13" t="s">
        <v>154</v>
      </c>
      <c r="D128" s="12" t="s">
        <v>350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21">
        <v>1</v>
      </c>
      <c r="T128" s="8">
        <v>0</v>
      </c>
      <c r="U128" s="8">
        <v>0</v>
      </c>
      <c r="V128" s="21">
        <v>1</v>
      </c>
      <c r="W128" s="8">
        <v>0</v>
      </c>
      <c r="X128" s="8">
        <v>0</v>
      </c>
      <c r="Y128" s="21">
        <v>1</v>
      </c>
      <c r="Z128" s="17">
        <v>0</v>
      </c>
      <c r="AA128" s="8">
        <v>0</v>
      </c>
      <c r="AB128" s="17">
        <v>0</v>
      </c>
      <c r="AC128" s="8">
        <v>0</v>
      </c>
      <c r="AD128" s="29"/>
      <c r="AE128" s="29"/>
      <c r="AF128" s="29"/>
      <c r="AG128" s="29"/>
      <c r="AH128" s="29"/>
      <c r="AI128" t="str">
        <f t="shared" si="1"/>
        <v xml:space="preserve">2010, 2013, 2016, </v>
      </c>
    </row>
    <row r="129" spans="1:35" x14ac:dyDescent="0.2">
      <c r="A129" s="5" t="e">
        <f t="shared" si="3"/>
        <v>#REF!</v>
      </c>
      <c r="B129" s="5">
        <v>126</v>
      </c>
      <c r="C129" s="13" t="s">
        <v>155</v>
      </c>
      <c r="D129" s="7" t="s">
        <v>351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22">
        <v>1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17">
        <v>0</v>
      </c>
      <c r="AA129" s="22">
        <v>1</v>
      </c>
      <c r="AB129" s="17">
        <v>0</v>
      </c>
      <c r="AC129" s="8">
        <v>0</v>
      </c>
      <c r="AD129" s="29"/>
      <c r="AE129" s="29"/>
      <c r="AF129" s="29"/>
      <c r="AG129" s="29"/>
      <c r="AH129" s="29"/>
      <c r="AI129" t="str">
        <f t="shared" si="1"/>
        <v xml:space="preserve">2003, 2018, </v>
      </c>
    </row>
    <row r="130" spans="1:35" x14ac:dyDescent="0.2">
      <c r="A130" s="5" t="e">
        <f t="shared" si="3"/>
        <v>#REF!</v>
      </c>
      <c r="B130" s="5">
        <v>127</v>
      </c>
      <c r="C130" s="9" t="s">
        <v>156</v>
      </c>
      <c r="D130" s="10" t="s">
        <v>352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21">
        <v>1</v>
      </c>
      <c r="T130" s="21">
        <v>1</v>
      </c>
      <c r="U130" s="21">
        <v>1</v>
      </c>
      <c r="V130" s="21">
        <v>1</v>
      </c>
      <c r="W130" s="21">
        <v>1</v>
      </c>
      <c r="X130" s="21">
        <v>1</v>
      </c>
      <c r="Y130" s="21">
        <v>1</v>
      </c>
      <c r="Z130" s="17">
        <v>0</v>
      </c>
      <c r="AA130" s="8">
        <v>0</v>
      </c>
      <c r="AB130" s="17">
        <v>0</v>
      </c>
      <c r="AC130" s="8">
        <v>0</v>
      </c>
      <c r="AD130" s="29"/>
      <c r="AE130" s="29"/>
      <c r="AF130" s="29"/>
      <c r="AG130" s="29"/>
      <c r="AH130" s="29"/>
      <c r="AI130" t="str">
        <f t="shared" si="1"/>
        <v xml:space="preserve">2010, 2011, 2012, 2013, 2014, 2015, 2016, </v>
      </c>
    </row>
    <row r="131" spans="1:35" x14ac:dyDescent="0.2">
      <c r="A131" s="5" t="e">
        <f t="shared" si="3"/>
        <v>#REF!</v>
      </c>
      <c r="B131" s="5">
        <v>128</v>
      </c>
      <c r="C131" s="6" t="s">
        <v>157</v>
      </c>
      <c r="D131" s="7" t="s">
        <v>353</v>
      </c>
      <c r="E131" s="8">
        <v>0</v>
      </c>
      <c r="F131" s="8">
        <v>0</v>
      </c>
      <c r="G131" s="8">
        <v>0</v>
      </c>
      <c r="H131" s="8">
        <v>0</v>
      </c>
      <c r="I131" s="23">
        <v>1</v>
      </c>
      <c r="J131" s="23">
        <v>1</v>
      </c>
      <c r="K131" s="8">
        <v>0</v>
      </c>
      <c r="L131" s="8">
        <v>0</v>
      </c>
      <c r="M131" s="8">
        <v>0</v>
      </c>
      <c r="N131" s="21">
        <v>1</v>
      </c>
      <c r="O131" s="21">
        <v>1</v>
      </c>
      <c r="P131" s="21">
        <v>1</v>
      </c>
      <c r="Q131" s="21">
        <v>1</v>
      </c>
      <c r="R131" s="21">
        <v>1</v>
      </c>
      <c r="S131" s="21">
        <v>1</v>
      </c>
      <c r="T131" s="21">
        <v>1</v>
      </c>
      <c r="U131" s="21">
        <v>1</v>
      </c>
      <c r="V131" s="21">
        <v>1</v>
      </c>
      <c r="W131" s="21">
        <v>1</v>
      </c>
      <c r="X131" s="21">
        <v>1</v>
      </c>
      <c r="Y131" s="8">
        <v>0</v>
      </c>
      <c r="Z131" s="17">
        <v>0</v>
      </c>
      <c r="AA131" s="8">
        <v>0</v>
      </c>
      <c r="AB131" s="17">
        <v>0</v>
      </c>
      <c r="AC131" s="8">
        <v>0</v>
      </c>
      <c r="AD131" s="29"/>
      <c r="AE131" s="29"/>
      <c r="AF131" s="29"/>
      <c r="AG131" s="29"/>
      <c r="AH131" s="29"/>
      <c r="AI131" t="str">
        <f t="shared" si="1"/>
        <v xml:space="preserve">2000, 2001, 2005, 2006, 2007, 2008, 2009, 2010, 2011, 2012, 2013, 2014, 2015, </v>
      </c>
    </row>
    <row r="132" spans="1:35" x14ac:dyDescent="0.2">
      <c r="A132" s="5" t="e">
        <f t="shared" si="3"/>
        <v>#REF!</v>
      </c>
      <c r="B132" s="5">
        <v>129</v>
      </c>
      <c r="C132" s="6" t="s">
        <v>158</v>
      </c>
      <c r="D132" s="7" t="s">
        <v>354</v>
      </c>
      <c r="E132" s="8">
        <v>0</v>
      </c>
      <c r="F132" s="8">
        <v>0</v>
      </c>
      <c r="G132" s="8">
        <v>0</v>
      </c>
      <c r="H132" s="8">
        <v>0</v>
      </c>
      <c r="I132" s="21">
        <v>1</v>
      </c>
      <c r="J132" s="21">
        <v>1</v>
      </c>
      <c r="K132" s="21">
        <v>1</v>
      </c>
      <c r="L132" s="21">
        <v>1</v>
      </c>
      <c r="M132" s="21">
        <v>1</v>
      </c>
      <c r="N132" s="21">
        <v>1</v>
      </c>
      <c r="O132" s="21">
        <v>1</v>
      </c>
      <c r="P132" s="21">
        <v>1</v>
      </c>
      <c r="Q132" s="21">
        <v>1</v>
      </c>
      <c r="R132" s="21">
        <v>1</v>
      </c>
      <c r="S132" s="21">
        <v>1</v>
      </c>
      <c r="T132" s="21">
        <v>1</v>
      </c>
      <c r="U132" s="21">
        <v>1</v>
      </c>
      <c r="V132" s="21">
        <v>1</v>
      </c>
      <c r="W132" s="21">
        <v>1</v>
      </c>
      <c r="X132" s="21">
        <v>1</v>
      </c>
      <c r="Y132" s="21">
        <v>1</v>
      </c>
      <c r="Z132" s="21">
        <v>1</v>
      </c>
      <c r="AA132" s="22">
        <v>1</v>
      </c>
      <c r="AB132" s="24">
        <v>1</v>
      </c>
      <c r="AC132" s="21">
        <v>1</v>
      </c>
      <c r="AD132" s="22">
        <v>1</v>
      </c>
      <c r="AE132" s="24">
        <v>1</v>
      </c>
      <c r="AF132" s="29"/>
      <c r="AG132" s="29"/>
      <c r="AH132" s="29"/>
      <c r="AI132" t="str">
        <f t="shared" si="1"/>
        <v xml:space="preserve">2000, 2001, 2002, 2003, 2004, 2005, 2006, 2007, 2008, 2009, 2010, 2011, 2012, 2013, 2014, 2015, 2016, 2017, 2018, 2019, 2020, 2021, 2022, </v>
      </c>
    </row>
    <row r="133" spans="1:35" x14ac:dyDescent="0.2">
      <c r="A133" s="5" t="e">
        <f t="shared" si="3"/>
        <v>#REF!</v>
      </c>
      <c r="B133" s="5">
        <v>130</v>
      </c>
      <c r="C133" s="13" t="s">
        <v>159</v>
      </c>
      <c r="D133" s="7" t="s">
        <v>355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17">
        <v>0</v>
      </c>
      <c r="AA133" s="8">
        <v>0</v>
      </c>
      <c r="AB133" s="17">
        <v>0</v>
      </c>
      <c r="AC133" s="8">
        <v>0</v>
      </c>
      <c r="AD133" s="29"/>
      <c r="AE133" s="29"/>
      <c r="AF133" s="29"/>
      <c r="AG133" s="29"/>
      <c r="AH133" s="29"/>
      <c r="AI133" t="str">
        <f t="shared" ref="AI133:AI193" si="4">+IF($E133=1,RIGHT(E$3,4)&amp;",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","")&amp;IF($Z133=1,RIGHT(Z$3,4)&amp;", ","")&amp;IF($AA133=1, RIGHT(AA$3,4)&amp;", ", "")&amp;IF($AB133=1, RIGHT(AB$3,4)&amp;", ", "")&amp;IF($AC133=1, RIGHT(AC$3,4)&amp;", ", "")&amp;IF($AD133=1, RIGHT(AD$3,4)&amp;", ", "")&amp;IF($AE133=1, RIGHT(AE$3,4)&amp;", ", "")&amp;IF($AF133=1, RIGHT(AF$3,4)&amp;", ", "")&amp;IF($AG133=1, RIGHT(AG$3,4)&amp;", ", "")&amp;IF($AH133=1, RIGHT(AH$3,4)&amp;", ", "")</f>
        <v/>
      </c>
    </row>
    <row r="134" spans="1:35" x14ac:dyDescent="0.2">
      <c r="A134" s="5" t="e">
        <f t="shared" si="3"/>
        <v>#REF!</v>
      </c>
      <c r="B134" s="5">
        <v>131</v>
      </c>
      <c r="C134" s="13" t="s">
        <v>160</v>
      </c>
      <c r="D134" s="7" t="s">
        <v>356</v>
      </c>
      <c r="E134" s="8">
        <v>0</v>
      </c>
      <c r="F134" s="8">
        <v>0</v>
      </c>
      <c r="G134" s="8">
        <v>0</v>
      </c>
      <c r="H134" s="8">
        <v>0</v>
      </c>
      <c r="I134" s="21">
        <v>1</v>
      </c>
      <c r="J134" s="21">
        <v>1</v>
      </c>
      <c r="K134" s="8">
        <v>0</v>
      </c>
      <c r="L134" s="8">
        <v>0</v>
      </c>
      <c r="M134" s="8">
        <v>0</v>
      </c>
      <c r="N134" s="8">
        <v>0</v>
      </c>
      <c r="O134" s="21">
        <v>1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21">
        <v>1</v>
      </c>
      <c r="X134" s="8">
        <v>0</v>
      </c>
      <c r="Y134" s="8">
        <v>0</v>
      </c>
      <c r="Z134" s="17">
        <v>0</v>
      </c>
      <c r="AA134" s="8">
        <v>0</v>
      </c>
      <c r="AB134" s="17">
        <v>0</v>
      </c>
      <c r="AC134" s="8">
        <v>0</v>
      </c>
      <c r="AD134" s="29"/>
      <c r="AE134" s="29"/>
      <c r="AF134" s="29"/>
      <c r="AG134" s="29"/>
      <c r="AH134" s="29"/>
      <c r="AI134" t="str">
        <f t="shared" si="4"/>
        <v xml:space="preserve">2000, 2001, 2006, 2014, </v>
      </c>
    </row>
    <row r="135" spans="1:35" x14ac:dyDescent="0.2">
      <c r="A135" s="5" t="e">
        <f t="shared" si="3"/>
        <v>#REF!</v>
      </c>
      <c r="B135" s="5">
        <v>132</v>
      </c>
      <c r="C135" s="13" t="s">
        <v>161</v>
      </c>
      <c r="D135" s="7" t="s">
        <v>357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1</v>
      </c>
      <c r="L135" s="22">
        <v>1</v>
      </c>
      <c r="M135" s="8">
        <v>0</v>
      </c>
      <c r="N135" s="8">
        <v>0</v>
      </c>
      <c r="O135" s="8">
        <v>0</v>
      </c>
      <c r="P135" s="8">
        <v>0</v>
      </c>
      <c r="Q135" s="23">
        <v>1</v>
      </c>
      <c r="R135" s="8">
        <v>0</v>
      </c>
      <c r="S135" s="8">
        <v>0</v>
      </c>
      <c r="T135" s="8">
        <v>0</v>
      </c>
      <c r="U135" s="21">
        <v>1</v>
      </c>
      <c r="V135" s="8">
        <v>0</v>
      </c>
      <c r="W135" s="8">
        <v>0</v>
      </c>
      <c r="X135" s="8">
        <v>0</v>
      </c>
      <c r="Y135" s="22">
        <v>1</v>
      </c>
      <c r="Z135" s="21">
        <v>1</v>
      </c>
      <c r="AA135" s="8">
        <v>0</v>
      </c>
      <c r="AB135" s="17">
        <v>0</v>
      </c>
      <c r="AC135" s="8">
        <v>0</v>
      </c>
      <c r="AD135" s="29"/>
      <c r="AE135" s="29"/>
      <c r="AF135" s="29"/>
      <c r="AG135" s="29"/>
      <c r="AH135" s="29"/>
      <c r="AI135" t="str">
        <f t="shared" si="4"/>
        <v xml:space="preserve">2002, 2003, 2008, 2012, 2016, 2017, </v>
      </c>
    </row>
    <row r="136" spans="1:35" x14ac:dyDescent="0.2">
      <c r="A136" s="5" t="e">
        <f t="shared" si="3"/>
        <v>#REF!</v>
      </c>
      <c r="B136" s="5">
        <v>133</v>
      </c>
      <c r="C136" s="13" t="s">
        <v>162</v>
      </c>
      <c r="D136" s="7" t="s">
        <v>358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22">
        <v>1</v>
      </c>
      <c r="V136" s="22">
        <v>1</v>
      </c>
      <c r="W136" s="22">
        <v>1</v>
      </c>
      <c r="X136" s="22">
        <v>1</v>
      </c>
      <c r="Y136" s="22">
        <v>1</v>
      </c>
      <c r="Z136" s="24">
        <v>1</v>
      </c>
      <c r="AA136" s="22">
        <v>1</v>
      </c>
      <c r="AB136" s="25">
        <v>1</v>
      </c>
      <c r="AC136" s="8">
        <v>0</v>
      </c>
      <c r="AD136" s="29"/>
      <c r="AE136" s="29"/>
      <c r="AF136" s="29"/>
      <c r="AG136" s="29"/>
      <c r="AH136" s="29"/>
      <c r="AI136" t="str">
        <f t="shared" si="4"/>
        <v xml:space="preserve">2012, 2013, 2014, 2015, 2016, 2017, 2018, 2019, </v>
      </c>
    </row>
    <row r="137" spans="1:35" x14ac:dyDescent="0.2">
      <c r="A137" s="5" t="e">
        <f t="shared" si="3"/>
        <v>#REF!</v>
      </c>
      <c r="B137" s="5">
        <v>134</v>
      </c>
      <c r="C137" s="27" t="s">
        <v>163</v>
      </c>
      <c r="D137" s="7" t="s">
        <v>359</v>
      </c>
      <c r="E137" s="21">
        <v>1</v>
      </c>
      <c r="F137" s="21">
        <v>1</v>
      </c>
      <c r="G137" s="21">
        <v>1</v>
      </c>
      <c r="H137" s="21">
        <v>1</v>
      </c>
      <c r="I137" s="21">
        <v>1</v>
      </c>
      <c r="J137" s="21">
        <v>1</v>
      </c>
      <c r="K137" s="21">
        <v>1</v>
      </c>
      <c r="L137" s="21">
        <v>1</v>
      </c>
      <c r="M137" s="21">
        <v>1</v>
      </c>
      <c r="N137" s="21">
        <v>1</v>
      </c>
      <c r="O137" s="21">
        <v>1</v>
      </c>
      <c r="P137" s="21">
        <v>1</v>
      </c>
      <c r="Q137" s="21">
        <v>1</v>
      </c>
      <c r="R137" s="21">
        <v>1</v>
      </c>
      <c r="S137" s="21">
        <v>1</v>
      </c>
      <c r="T137" s="21">
        <v>1</v>
      </c>
      <c r="U137" s="21">
        <v>1</v>
      </c>
      <c r="V137" s="21">
        <v>1</v>
      </c>
      <c r="W137" s="21">
        <v>1</v>
      </c>
      <c r="X137" s="21">
        <v>1</v>
      </c>
      <c r="Y137" s="23">
        <v>1</v>
      </c>
      <c r="Z137" s="26">
        <v>1</v>
      </c>
      <c r="AA137" s="21">
        <v>1</v>
      </c>
      <c r="AB137" s="25">
        <v>1</v>
      </c>
      <c r="AC137" s="8">
        <v>0</v>
      </c>
      <c r="AD137" s="29"/>
      <c r="AE137" s="29"/>
      <c r="AF137" s="29"/>
      <c r="AG137" s="29"/>
      <c r="AH137" s="29"/>
      <c r="AI137" t="str">
        <f t="shared" si="4"/>
        <v xml:space="preserve">1996, 1997, 1998, 1999, 2000, 2001, 2002, 2003, 2004, 2005, 2006, 2007, 2008, 2009, 2010, 2011, 2012, 2013, 2014, 2015, 2016, 2017, 2018, 2019, </v>
      </c>
    </row>
    <row r="138" spans="1:35" x14ac:dyDescent="0.2">
      <c r="A138" s="5" t="e">
        <f t="shared" si="3"/>
        <v>#REF!</v>
      </c>
      <c r="B138" s="5">
        <v>135</v>
      </c>
      <c r="C138" s="9" t="s">
        <v>164</v>
      </c>
      <c r="D138" s="10" t="s">
        <v>360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17">
        <v>0</v>
      </c>
      <c r="AA138" s="22">
        <v>1</v>
      </c>
      <c r="AB138" s="17">
        <v>0</v>
      </c>
      <c r="AC138" s="8">
        <v>0</v>
      </c>
      <c r="AD138" s="29"/>
      <c r="AE138" s="29"/>
      <c r="AF138" s="29"/>
      <c r="AG138" s="29"/>
      <c r="AH138" s="29"/>
      <c r="AI138" t="str">
        <f t="shared" si="4"/>
        <v xml:space="preserve">2018, </v>
      </c>
    </row>
    <row r="139" spans="1:35" x14ac:dyDescent="0.2">
      <c r="A139" s="5" t="e">
        <f t="shared" si="3"/>
        <v>#REF!</v>
      </c>
      <c r="B139" s="5">
        <v>136</v>
      </c>
      <c r="C139" s="8" t="s">
        <v>165</v>
      </c>
      <c r="D139" s="7" t="s">
        <v>361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22">
        <v>1</v>
      </c>
      <c r="Y139" s="8">
        <v>0</v>
      </c>
      <c r="Z139" s="17">
        <v>0</v>
      </c>
      <c r="AA139" s="8">
        <v>0</v>
      </c>
      <c r="AB139" s="17">
        <v>0</v>
      </c>
      <c r="AC139" s="8">
        <v>0</v>
      </c>
      <c r="AD139" s="29"/>
      <c r="AE139" s="29"/>
      <c r="AF139" s="29"/>
      <c r="AG139" s="29"/>
      <c r="AH139" s="29"/>
      <c r="AI139" t="str">
        <f t="shared" si="4"/>
        <v xml:space="preserve">2015, </v>
      </c>
    </row>
    <row r="140" spans="1:35" x14ac:dyDescent="0.2">
      <c r="A140" s="5" t="e">
        <f>1+#REF!</f>
        <v>#REF!</v>
      </c>
      <c r="B140" s="5">
        <v>137</v>
      </c>
      <c r="C140" s="27" t="s">
        <v>166</v>
      </c>
      <c r="D140" s="7" t="s">
        <v>362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21">
        <v>1</v>
      </c>
      <c r="O140" s="21">
        <v>1</v>
      </c>
      <c r="P140" s="21">
        <v>1</v>
      </c>
      <c r="Q140" s="21">
        <v>1</v>
      </c>
      <c r="R140" s="21">
        <v>1</v>
      </c>
      <c r="S140" s="21">
        <v>1</v>
      </c>
      <c r="T140" s="21">
        <v>1</v>
      </c>
      <c r="U140" s="21">
        <v>1</v>
      </c>
      <c r="V140" s="21">
        <v>1</v>
      </c>
      <c r="W140" s="21">
        <v>1</v>
      </c>
      <c r="X140" s="21">
        <v>1</v>
      </c>
      <c r="Y140" s="21">
        <v>1</v>
      </c>
      <c r="Z140" s="21">
        <v>1</v>
      </c>
      <c r="AA140" s="8">
        <v>0</v>
      </c>
      <c r="AB140" s="17">
        <v>0</v>
      </c>
      <c r="AC140" s="8">
        <v>0</v>
      </c>
      <c r="AD140" s="29"/>
      <c r="AE140" s="29"/>
      <c r="AF140" s="29"/>
      <c r="AG140" s="29"/>
      <c r="AH140" s="29"/>
      <c r="AI140" t="str">
        <f t="shared" si="4"/>
        <v xml:space="preserve">2005, 2006, 2007, 2008, 2009, 2010, 2011, 2012, 2013, 2014, 2015, 2016, 2017, </v>
      </c>
    </row>
    <row r="141" spans="1:35" x14ac:dyDescent="0.2">
      <c r="A141" s="5" t="e">
        <f t="shared" si="3"/>
        <v>#REF!</v>
      </c>
      <c r="B141" s="5">
        <v>138</v>
      </c>
      <c r="C141" s="27" t="s">
        <v>167</v>
      </c>
      <c r="D141" s="7" t="s">
        <v>363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21">
        <v>1</v>
      </c>
      <c r="Q141" s="8">
        <v>0</v>
      </c>
      <c r="R141" s="21">
        <v>1</v>
      </c>
      <c r="S141" s="21">
        <v>1</v>
      </c>
      <c r="T141" s="21">
        <v>1</v>
      </c>
      <c r="U141" s="21">
        <v>1</v>
      </c>
      <c r="V141" s="21">
        <v>1</v>
      </c>
      <c r="W141" s="21">
        <v>1</v>
      </c>
      <c r="X141" s="21">
        <v>1</v>
      </c>
      <c r="Y141" s="21">
        <v>1</v>
      </c>
      <c r="Z141" s="21">
        <v>1</v>
      </c>
      <c r="AA141" s="21">
        <v>1</v>
      </c>
      <c r="AB141" s="25">
        <v>1</v>
      </c>
      <c r="AC141" s="8">
        <v>0</v>
      </c>
      <c r="AD141" s="29"/>
      <c r="AE141" s="29"/>
      <c r="AF141" s="29"/>
      <c r="AG141" s="29"/>
      <c r="AH141" s="29"/>
      <c r="AI141" t="str">
        <f t="shared" si="4"/>
        <v xml:space="preserve">2007, 2009, 2010, 2011, 2012, 2013, 2014, 2015, 2016, 2017, 2018, 2019, </v>
      </c>
    </row>
    <row r="142" spans="1:35" x14ac:dyDescent="0.2">
      <c r="A142" s="5" t="e">
        <f t="shared" si="3"/>
        <v>#REF!</v>
      </c>
      <c r="B142" s="5">
        <v>139</v>
      </c>
      <c r="C142" s="27" t="s">
        <v>168</v>
      </c>
      <c r="D142" s="7" t="s">
        <v>364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17">
        <v>0</v>
      </c>
      <c r="AA142" s="8">
        <v>0</v>
      </c>
      <c r="AB142" s="17">
        <v>0</v>
      </c>
      <c r="AC142" s="8">
        <v>0</v>
      </c>
      <c r="AD142" s="29"/>
      <c r="AE142" s="29"/>
      <c r="AF142" s="29"/>
      <c r="AG142" s="29"/>
      <c r="AH142" s="29"/>
      <c r="AI142" t="str">
        <f t="shared" si="4"/>
        <v/>
      </c>
    </row>
    <row r="143" spans="1:35" x14ac:dyDescent="0.2">
      <c r="A143" s="5" t="e">
        <f t="shared" si="3"/>
        <v>#REF!</v>
      </c>
      <c r="B143" s="5">
        <v>140</v>
      </c>
      <c r="C143" s="6" t="s">
        <v>169</v>
      </c>
      <c r="D143" s="7" t="s">
        <v>365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21">
        <v>1</v>
      </c>
      <c r="V143" s="8">
        <v>0</v>
      </c>
      <c r="W143" s="8">
        <v>0</v>
      </c>
      <c r="X143" s="8">
        <v>0</v>
      </c>
      <c r="Y143" s="8">
        <v>0</v>
      </c>
      <c r="Z143" s="24">
        <v>1</v>
      </c>
      <c r="AA143" s="8">
        <v>0</v>
      </c>
      <c r="AB143" s="17">
        <v>0</v>
      </c>
      <c r="AC143" s="8">
        <v>0</v>
      </c>
      <c r="AD143" s="29"/>
      <c r="AE143" s="29"/>
      <c r="AF143" s="29"/>
      <c r="AG143" s="29"/>
      <c r="AH143" s="29"/>
      <c r="AI143" t="str">
        <f t="shared" si="4"/>
        <v xml:space="preserve">2012, 2017, </v>
      </c>
    </row>
    <row r="144" spans="1:35" x14ac:dyDescent="0.2">
      <c r="A144" s="5" t="e">
        <f t="shared" si="3"/>
        <v>#REF!</v>
      </c>
      <c r="B144" s="5">
        <v>141</v>
      </c>
      <c r="C144" s="6" t="s">
        <v>170</v>
      </c>
      <c r="D144" s="7" t="s">
        <v>366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22">
        <v>1</v>
      </c>
      <c r="L144" s="23">
        <v>1</v>
      </c>
      <c r="M144" s="22">
        <v>1</v>
      </c>
      <c r="N144" s="22">
        <v>1</v>
      </c>
      <c r="O144" s="22">
        <v>1</v>
      </c>
      <c r="P144" s="22">
        <v>1</v>
      </c>
      <c r="Q144" s="22">
        <v>1</v>
      </c>
      <c r="R144" s="22">
        <v>1</v>
      </c>
      <c r="S144" s="8">
        <v>0</v>
      </c>
      <c r="T144" s="8">
        <v>0</v>
      </c>
      <c r="U144" s="21">
        <v>1</v>
      </c>
      <c r="V144" s="23">
        <v>1</v>
      </c>
      <c r="W144" s="23">
        <v>1</v>
      </c>
      <c r="X144" s="22">
        <v>1</v>
      </c>
      <c r="Y144" s="22">
        <v>1</v>
      </c>
      <c r="Z144" s="26">
        <v>1</v>
      </c>
      <c r="AA144" s="22">
        <v>1</v>
      </c>
      <c r="AB144" s="25">
        <v>1</v>
      </c>
      <c r="AC144" s="8">
        <v>0</v>
      </c>
      <c r="AD144" s="29"/>
      <c r="AE144" s="29"/>
      <c r="AF144" s="29"/>
      <c r="AG144" s="29"/>
      <c r="AH144" s="29"/>
      <c r="AI144" t="str">
        <f t="shared" si="4"/>
        <v xml:space="preserve">2002, 2003, 2004, 2005, 2006, 2007, 2008, 2009, 2012, 2013, 2014, 2015, 2016, 2017, 2018, 2019, </v>
      </c>
    </row>
    <row r="145" spans="1:81" x14ac:dyDescent="0.2">
      <c r="A145" s="5" t="e">
        <f t="shared" si="3"/>
        <v>#REF!</v>
      </c>
      <c r="B145" s="5">
        <v>142</v>
      </c>
      <c r="C145" s="27" t="s">
        <v>171</v>
      </c>
      <c r="D145" s="7" t="s">
        <v>367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42">
        <v>0</v>
      </c>
      <c r="L145" s="42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21">
        <v>1</v>
      </c>
      <c r="W145" s="8">
        <v>0</v>
      </c>
      <c r="X145" s="8">
        <v>0</v>
      </c>
      <c r="Y145" s="8">
        <v>0</v>
      </c>
      <c r="Z145" s="17">
        <v>0</v>
      </c>
      <c r="AA145" s="8">
        <v>0</v>
      </c>
      <c r="AB145" s="17">
        <v>0</v>
      </c>
      <c r="AC145" s="8">
        <v>0</v>
      </c>
      <c r="AD145" s="29"/>
      <c r="AE145" s="29"/>
      <c r="AF145" s="29"/>
      <c r="AG145" s="29"/>
      <c r="AH145" s="29"/>
      <c r="AI145" t="str">
        <f t="shared" si="4"/>
        <v xml:space="preserve">2013, </v>
      </c>
    </row>
    <row r="146" spans="1:81" x14ac:dyDescent="0.2">
      <c r="A146" s="5" t="e">
        <f t="shared" si="3"/>
        <v>#REF!</v>
      </c>
      <c r="B146" s="5">
        <v>143</v>
      </c>
      <c r="C146" s="6" t="s">
        <v>172</v>
      </c>
      <c r="D146" s="7" t="s">
        <v>368</v>
      </c>
      <c r="E146" s="8">
        <v>0</v>
      </c>
      <c r="F146" s="8">
        <v>0</v>
      </c>
      <c r="G146" s="8">
        <v>0</v>
      </c>
      <c r="H146" s="8">
        <v>0</v>
      </c>
      <c r="I146" s="21">
        <v>1</v>
      </c>
      <c r="J146" s="21">
        <v>1</v>
      </c>
      <c r="K146" s="21">
        <v>1</v>
      </c>
      <c r="L146" s="21">
        <v>1</v>
      </c>
      <c r="M146" s="21">
        <v>1</v>
      </c>
      <c r="N146" s="21">
        <v>1</v>
      </c>
      <c r="O146" s="21">
        <v>1</v>
      </c>
      <c r="P146" s="21">
        <v>1</v>
      </c>
      <c r="Q146" s="21">
        <v>1</v>
      </c>
      <c r="R146" s="21">
        <v>1</v>
      </c>
      <c r="S146" s="21">
        <v>1</v>
      </c>
      <c r="T146" s="21">
        <v>1</v>
      </c>
      <c r="U146" s="21">
        <v>1</v>
      </c>
      <c r="V146" s="21">
        <v>1</v>
      </c>
      <c r="W146" s="21">
        <v>1</v>
      </c>
      <c r="X146" s="21">
        <v>1</v>
      </c>
      <c r="Y146" s="21">
        <v>1</v>
      </c>
      <c r="Z146" s="21">
        <v>1</v>
      </c>
      <c r="AA146" s="21">
        <v>1</v>
      </c>
      <c r="AB146" s="25">
        <v>1</v>
      </c>
      <c r="AC146" s="8">
        <v>0</v>
      </c>
      <c r="AD146" s="29"/>
      <c r="AE146" s="29"/>
      <c r="AF146" s="29"/>
      <c r="AG146" s="29"/>
      <c r="AH146" s="29"/>
      <c r="AI146" t="str">
        <f t="shared" si="4"/>
        <v xml:space="preserve">2000, 2001, 2002, 2003, 2004, 2005, 2006, 2007, 2008, 2009, 2010, 2011, 2012, 2013, 2014, 2015, 2016, 2017, 2018, 2019, </v>
      </c>
    </row>
    <row r="147" spans="1:81" x14ac:dyDescent="0.2">
      <c r="A147" s="5" t="e">
        <f t="shared" si="3"/>
        <v>#REF!</v>
      </c>
      <c r="B147" s="5">
        <v>144</v>
      </c>
      <c r="C147" s="27" t="s">
        <v>173</v>
      </c>
      <c r="D147" s="7" t="s">
        <v>369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23">
        <v>1</v>
      </c>
      <c r="O147" s="8">
        <v>0</v>
      </c>
      <c r="P147" s="8">
        <v>0</v>
      </c>
      <c r="Q147" s="21">
        <v>1</v>
      </c>
      <c r="R147" s="8">
        <v>0</v>
      </c>
      <c r="S147" s="8">
        <v>0</v>
      </c>
      <c r="T147" s="8">
        <v>0</v>
      </c>
      <c r="U147" s="21">
        <v>1</v>
      </c>
      <c r="V147" s="8">
        <v>0</v>
      </c>
      <c r="W147" s="21">
        <v>1</v>
      </c>
      <c r="X147" s="8">
        <v>0</v>
      </c>
      <c r="Y147" s="8">
        <v>0</v>
      </c>
      <c r="Z147" s="21">
        <v>1</v>
      </c>
      <c r="AA147" s="22">
        <v>1</v>
      </c>
      <c r="AB147" s="17">
        <v>0</v>
      </c>
      <c r="AC147" s="8">
        <v>0</v>
      </c>
      <c r="AD147" s="29"/>
      <c r="AE147" s="29"/>
      <c r="AF147" s="29"/>
      <c r="AG147" s="29"/>
      <c r="AH147" s="29"/>
      <c r="AI147" t="str">
        <f t="shared" si="4"/>
        <v xml:space="preserve">2005, 2008, 2012, 2014, 2017, 2018, </v>
      </c>
    </row>
    <row r="148" spans="1:81" x14ac:dyDescent="0.2">
      <c r="A148" s="5" t="e">
        <f t="shared" si="3"/>
        <v>#REF!</v>
      </c>
      <c r="B148" s="5">
        <v>145</v>
      </c>
      <c r="C148" s="27" t="s">
        <v>174</v>
      </c>
      <c r="D148" s="7" t="s">
        <v>370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23">
        <v>1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21">
        <v>1</v>
      </c>
      <c r="U148" s="8">
        <v>0</v>
      </c>
      <c r="V148" s="8">
        <v>0</v>
      </c>
      <c r="W148" s="22">
        <v>1</v>
      </c>
      <c r="X148" s="8">
        <v>0</v>
      </c>
      <c r="Y148" s="8">
        <v>0</v>
      </c>
      <c r="Z148" s="17">
        <v>0</v>
      </c>
      <c r="AA148" s="8">
        <v>0</v>
      </c>
      <c r="AB148" s="24">
        <v>1</v>
      </c>
      <c r="AC148" s="22">
        <v>0</v>
      </c>
      <c r="AD148" s="53"/>
      <c r="AE148" s="53"/>
      <c r="AF148" s="53"/>
      <c r="AG148" s="53"/>
      <c r="AH148" s="53"/>
      <c r="AI148" t="str">
        <f t="shared" si="4"/>
        <v xml:space="preserve">2004, 2011, 2014, 2019, </v>
      </c>
    </row>
    <row r="149" spans="1:81" x14ac:dyDescent="0.2">
      <c r="B149" s="5">
        <v>146</v>
      </c>
      <c r="C149" s="30" t="s">
        <v>175</v>
      </c>
      <c r="D149" s="30" t="s">
        <v>371</v>
      </c>
      <c r="E149" s="31">
        <v>0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19">
        <v>1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1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46">
        <v>0</v>
      </c>
      <c r="AC149" s="31">
        <v>0</v>
      </c>
      <c r="AD149" s="55"/>
      <c r="AE149" s="55"/>
      <c r="AF149" s="55"/>
      <c r="AG149" s="55"/>
      <c r="AH149" s="55"/>
      <c r="AI149" t="str">
        <f t="shared" si="4"/>
        <v xml:space="preserve">2004, 2013, </v>
      </c>
      <c r="AJ149" s="32"/>
      <c r="AK149" s="33" t="s">
        <v>372</v>
      </c>
    </row>
    <row r="150" spans="1:81" x14ac:dyDescent="0.2">
      <c r="B150" s="5">
        <v>147</v>
      </c>
      <c r="C150" s="30" t="s">
        <v>176</v>
      </c>
      <c r="D150" s="30" t="s">
        <v>373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46">
        <v>1</v>
      </c>
      <c r="AC150" s="31">
        <v>0</v>
      </c>
      <c r="AD150" s="55"/>
      <c r="AE150" s="55"/>
      <c r="AF150" s="55"/>
      <c r="AG150" s="55"/>
      <c r="AH150" s="55"/>
      <c r="AI150" t="str">
        <f t="shared" si="4"/>
        <v xml:space="preserve">2019, </v>
      </c>
      <c r="AJ150" s="32"/>
      <c r="AK150" s="37" t="s">
        <v>374</v>
      </c>
    </row>
    <row r="151" spans="1:81" x14ac:dyDescent="0.2">
      <c r="B151" s="5">
        <v>148</v>
      </c>
      <c r="C151" s="30" t="s">
        <v>177</v>
      </c>
      <c r="D151" s="30" t="s">
        <v>375</v>
      </c>
      <c r="E151" s="31">
        <v>0</v>
      </c>
      <c r="F151" s="31">
        <v>0</v>
      </c>
      <c r="G151" s="31">
        <v>0</v>
      </c>
      <c r="H151" s="31">
        <v>0</v>
      </c>
      <c r="I151" s="35">
        <v>1</v>
      </c>
      <c r="J151" s="35">
        <v>1</v>
      </c>
      <c r="K151" s="35">
        <v>1</v>
      </c>
      <c r="L151" s="35">
        <v>1</v>
      </c>
      <c r="M151" s="35">
        <v>1</v>
      </c>
      <c r="N151" s="35">
        <v>1</v>
      </c>
      <c r="O151" s="35">
        <v>1</v>
      </c>
      <c r="P151" s="35">
        <v>1</v>
      </c>
      <c r="Q151" s="35">
        <v>1</v>
      </c>
      <c r="R151" s="35">
        <v>1</v>
      </c>
      <c r="S151" s="35">
        <v>1</v>
      </c>
      <c r="T151" s="35">
        <v>1</v>
      </c>
      <c r="U151" s="35">
        <v>1</v>
      </c>
      <c r="V151" s="35">
        <v>1</v>
      </c>
      <c r="W151" s="35">
        <v>1</v>
      </c>
      <c r="X151" s="34">
        <v>1</v>
      </c>
      <c r="Y151" s="35">
        <v>1</v>
      </c>
      <c r="Z151" s="35">
        <v>1</v>
      </c>
      <c r="AA151" s="35">
        <v>1</v>
      </c>
      <c r="AB151" s="47">
        <v>1</v>
      </c>
      <c r="AC151" s="35">
        <v>1</v>
      </c>
      <c r="AD151" s="36">
        <v>1</v>
      </c>
      <c r="AE151" s="30">
        <v>1</v>
      </c>
      <c r="AF151" s="20"/>
      <c r="AG151" s="20"/>
      <c r="AH151" s="20"/>
      <c r="AI151" t="str">
        <f t="shared" si="4"/>
        <v xml:space="preserve">2000, 2001, 2002, 2003, 2004, 2005, 2006, 2007, 2008, 2009, 2010, 2011, 2012, 2013, 2014, 2015, 2016, 2017, 2018, 2019, 2020, 2021, 2022, </v>
      </c>
      <c r="AJ151" s="32" t="s">
        <v>376</v>
      </c>
      <c r="AK151" s="32" t="s">
        <v>377</v>
      </c>
    </row>
    <row r="152" spans="1:81" x14ac:dyDescent="0.2">
      <c r="B152" s="5">
        <v>149</v>
      </c>
      <c r="C152" s="30" t="s">
        <v>178</v>
      </c>
      <c r="D152" s="30" t="s">
        <v>378</v>
      </c>
      <c r="E152" s="31">
        <v>0</v>
      </c>
      <c r="F152" s="31">
        <v>0</v>
      </c>
      <c r="G152" s="35">
        <v>1</v>
      </c>
      <c r="H152" s="35">
        <v>1</v>
      </c>
      <c r="I152" s="35">
        <v>1</v>
      </c>
      <c r="J152" s="35">
        <v>1</v>
      </c>
      <c r="K152" s="35">
        <v>1</v>
      </c>
      <c r="L152" s="35">
        <v>1</v>
      </c>
      <c r="M152" s="35">
        <v>1</v>
      </c>
      <c r="N152" s="35">
        <v>1</v>
      </c>
      <c r="O152" s="35">
        <v>1</v>
      </c>
      <c r="P152" s="35">
        <v>1</v>
      </c>
      <c r="Q152" s="35">
        <v>1</v>
      </c>
      <c r="R152" s="35">
        <v>1</v>
      </c>
      <c r="S152" s="35">
        <v>1</v>
      </c>
      <c r="T152" s="35">
        <v>1</v>
      </c>
      <c r="U152" s="35">
        <v>1</v>
      </c>
      <c r="V152" s="35">
        <v>1</v>
      </c>
      <c r="W152" s="35">
        <v>1</v>
      </c>
      <c r="X152" s="35">
        <v>1</v>
      </c>
      <c r="Y152" s="35">
        <v>1</v>
      </c>
      <c r="Z152" s="35">
        <v>1</v>
      </c>
      <c r="AA152" s="35">
        <v>1</v>
      </c>
      <c r="AB152" s="47">
        <v>1</v>
      </c>
      <c r="AC152" s="36">
        <v>1</v>
      </c>
      <c r="AD152" s="36">
        <v>1</v>
      </c>
      <c r="AE152" s="30">
        <v>1</v>
      </c>
      <c r="AF152" s="56"/>
      <c r="AG152" s="56"/>
      <c r="AH152" s="56"/>
      <c r="AI152" t="str">
        <f t="shared" si="4"/>
        <v xml:space="preserve">1998, 1999, 2000, 2001, 2002, 2003, 2004, 2005, 2006, 2007, 2008, 2009, 2010, 2011, 2012, 2013, 2014, 2015, 2016, 2017, 2018, 2019, 2020, 2021, 2022, </v>
      </c>
      <c r="AJ152" s="32" t="s">
        <v>376</v>
      </c>
      <c r="AK152" s="37" t="s">
        <v>379</v>
      </c>
    </row>
    <row r="153" spans="1:81" x14ac:dyDescent="0.2">
      <c r="B153" s="5">
        <v>150</v>
      </c>
      <c r="C153" s="30" t="s">
        <v>179</v>
      </c>
      <c r="D153" s="30" t="s">
        <v>380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6">
        <v>1</v>
      </c>
      <c r="M153" s="36">
        <v>1</v>
      </c>
      <c r="N153" s="36">
        <v>1</v>
      </c>
      <c r="O153" s="36">
        <v>1</v>
      </c>
      <c r="P153" s="36">
        <v>1</v>
      </c>
      <c r="Q153" s="36">
        <v>1</v>
      </c>
      <c r="R153" s="36">
        <v>1</v>
      </c>
      <c r="S153" s="36">
        <v>1</v>
      </c>
      <c r="T153" s="36">
        <v>1</v>
      </c>
      <c r="U153" s="36">
        <v>1</v>
      </c>
      <c r="V153" s="36">
        <v>1</v>
      </c>
      <c r="W153" s="36">
        <v>1</v>
      </c>
      <c r="X153" s="36">
        <v>1</v>
      </c>
      <c r="Y153" s="36">
        <v>1</v>
      </c>
      <c r="Z153" s="36">
        <v>1</v>
      </c>
      <c r="AA153" s="36">
        <v>1</v>
      </c>
      <c r="AB153" s="48">
        <v>1</v>
      </c>
      <c r="AC153" s="36">
        <v>1</v>
      </c>
      <c r="AD153" s="36">
        <v>1</v>
      </c>
      <c r="AE153" s="30">
        <v>1</v>
      </c>
      <c r="AF153" s="56"/>
      <c r="AG153" s="56"/>
      <c r="AH153" s="56"/>
      <c r="AI153" t="str">
        <f t="shared" si="4"/>
        <v xml:space="preserve">2003, 2004, 2005, 2006, 2007, 2008, 2009, 2010, 2011, 2012, 2013, 2014, 2015, 2016, 2017, 2018, 2019, 2020, 2021, 2022, </v>
      </c>
      <c r="AJ153" s="32"/>
      <c r="AK153" s="33" t="s">
        <v>381</v>
      </c>
      <c r="AL153" s="29" t="s">
        <v>382</v>
      </c>
    </row>
    <row r="154" spans="1:81" x14ac:dyDescent="0.2">
      <c r="B154" s="5">
        <v>151</v>
      </c>
      <c r="C154" s="30" t="s">
        <v>180</v>
      </c>
      <c r="D154" s="30" t="s">
        <v>383</v>
      </c>
      <c r="E154" s="31">
        <v>0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8">
        <v>1</v>
      </c>
      <c r="Q154" s="38">
        <v>1</v>
      </c>
      <c r="R154" s="38">
        <v>1</v>
      </c>
      <c r="S154" s="38">
        <v>1</v>
      </c>
      <c r="T154" s="38">
        <v>1</v>
      </c>
      <c r="U154" s="38">
        <v>1</v>
      </c>
      <c r="V154" s="38">
        <v>1</v>
      </c>
      <c r="W154" s="38">
        <v>1</v>
      </c>
      <c r="X154" s="38">
        <v>1</v>
      </c>
      <c r="Y154" s="38">
        <v>1</v>
      </c>
      <c r="Z154" s="38">
        <v>1</v>
      </c>
      <c r="AA154" s="38">
        <v>1</v>
      </c>
      <c r="AB154" s="49">
        <v>1</v>
      </c>
      <c r="AC154" s="38">
        <v>1</v>
      </c>
      <c r="AD154" s="36">
        <v>1</v>
      </c>
      <c r="AE154" s="30">
        <v>1</v>
      </c>
      <c r="AF154" s="57"/>
      <c r="AG154" s="57"/>
      <c r="AH154" s="57"/>
      <c r="AI154" t="str">
        <f t="shared" si="4"/>
        <v xml:space="preserve">2007, 2008, 2009, 2010, 2011, 2012, 2013, 2014, 2015, 2016, 2017, 2018, 2019, 2020, 2021, 2022, </v>
      </c>
      <c r="AJ154" s="32" t="s">
        <v>376</v>
      </c>
      <c r="AK154" s="32"/>
    </row>
    <row r="155" spans="1:81" x14ac:dyDescent="0.2">
      <c r="B155" s="5">
        <v>152</v>
      </c>
      <c r="C155" s="30" t="s">
        <v>181</v>
      </c>
      <c r="D155" s="30" t="s">
        <v>384</v>
      </c>
      <c r="E155" s="31">
        <v>0</v>
      </c>
      <c r="F155" s="31">
        <v>0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8">
        <v>1</v>
      </c>
      <c r="U155" s="38">
        <v>1</v>
      </c>
      <c r="V155" s="38">
        <v>1</v>
      </c>
      <c r="W155" s="38">
        <v>1</v>
      </c>
      <c r="X155" s="38">
        <v>1</v>
      </c>
      <c r="Y155" s="38">
        <v>1</v>
      </c>
      <c r="Z155" s="38">
        <v>1</v>
      </c>
      <c r="AA155" s="38">
        <v>1</v>
      </c>
      <c r="AB155" s="49">
        <v>1</v>
      </c>
      <c r="AC155" s="34">
        <v>1</v>
      </c>
      <c r="AD155" s="36">
        <v>1</v>
      </c>
      <c r="AE155" s="30">
        <v>1</v>
      </c>
      <c r="AF155" s="19"/>
      <c r="AG155" s="19"/>
      <c r="AH155" s="19"/>
      <c r="AI155" t="str">
        <f t="shared" si="4"/>
        <v xml:space="preserve">2011, 2012, 2013, 2014, 2015, 2016, 2017, 2018, 2019, 2020, 2021, 2022, </v>
      </c>
      <c r="AJ155" s="32" t="s">
        <v>376</v>
      </c>
      <c r="AK155" s="32" t="s">
        <v>385</v>
      </c>
    </row>
    <row r="156" spans="1:81" x14ac:dyDescent="0.2">
      <c r="B156" s="5">
        <v>153</v>
      </c>
      <c r="C156" s="30" t="s">
        <v>182</v>
      </c>
      <c r="D156" s="30" t="s">
        <v>386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46">
        <v>0</v>
      </c>
      <c r="AC156" s="31">
        <v>0</v>
      </c>
      <c r="AD156" s="55"/>
      <c r="AE156" s="55"/>
      <c r="AF156" s="55"/>
      <c r="AG156" s="55"/>
      <c r="AH156" s="55"/>
      <c r="AI156" t="str">
        <f t="shared" si="4"/>
        <v/>
      </c>
      <c r="AJ156" s="32"/>
      <c r="AK156" s="32"/>
    </row>
    <row r="157" spans="1:81" x14ac:dyDescent="0.2">
      <c r="B157" s="5">
        <v>154</v>
      </c>
      <c r="C157" s="30" t="s">
        <v>183</v>
      </c>
      <c r="D157" s="30" t="s">
        <v>387</v>
      </c>
      <c r="E157" s="31">
        <v>0</v>
      </c>
      <c r="F157" s="31">
        <v>0</v>
      </c>
      <c r="G157" s="31">
        <v>0</v>
      </c>
      <c r="H157" s="36">
        <v>1</v>
      </c>
      <c r="I157" s="36">
        <v>1</v>
      </c>
      <c r="J157" s="36">
        <v>1</v>
      </c>
      <c r="K157" s="36">
        <v>1</v>
      </c>
      <c r="L157" s="36">
        <v>1</v>
      </c>
      <c r="M157" s="36">
        <v>1</v>
      </c>
      <c r="N157" s="36">
        <v>1</v>
      </c>
      <c r="O157" s="36">
        <v>1</v>
      </c>
      <c r="P157" s="36">
        <v>1</v>
      </c>
      <c r="Q157" s="36">
        <v>1</v>
      </c>
      <c r="R157" s="36">
        <v>1</v>
      </c>
      <c r="S157" s="36">
        <v>1</v>
      </c>
      <c r="T157" s="36">
        <v>1</v>
      </c>
      <c r="U157" s="36">
        <v>1</v>
      </c>
      <c r="V157" s="36">
        <v>1</v>
      </c>
      <c r="W157" s="36">
        <v>1</v>
      </c>
      <c r="X157" s="36">
        <v>1</v>
      </c>
      <c r="Y157" s="36">
        <v>1</v>
      </c>
      <c r="Z157" s="36">
        <v>1</v>
      </c>
      <c r="AA157" s="36">
        <v>1</v>
      </c>
      <c r="AB157" s="48">
        <v>1</v>
      </c>
      <c r="AC157" s="36">
        <v>0</v>
      </c>
      <c r="AD157" s="56"/>
      <c r="AE157" s="56"/>
      <c r="AF157" s="56"/>
      <c r="AG157" s="56"/>
      <c r="AH157" s="56"/>
      <c r="AI157" t="str">
        <f t="shared" si="4"/>
        <v xml:space="preserve">1999, 2000, 2001, 2002, 2003, 2004, 2005, 2006, 2007, 2008, 2009, 2010, 2011, 2012, 2013, 2014, 2015, 2016, 2017, 2018, 2019, </v>
      </c>
      <c r="AJ157" s="32"/>
      <c r="AK157" s="37" t="s">
        <v>388</v>
      </c>
    </row>
    <row r="158" spans="1:81" x14ac:dyDescent="0.2">
      <c r="B158" s="5">
        <v>155</v>
      </c>
      <c r="C158" s="30" t="s">
        <v>184</v>
      </c>
      <c r="D158" s="30" t="s">
        <v>389</v>
      </c>
      <c r="E158" s="31">
        <v>0</v>
      </c>
      <c r="F158" s="31">
        <v>0</v>
      </c>
      <c r="G158" s="35">
        <v>1</v>
      </c>
      <c r="H158" s="35">
        <v>1</v>
      </c>
      <c r="I158" s="35">
        <v>1</v>
      </c>
      <c r="J158" s="35">
        <v>1</v>
      </c>
      <c r="K158" s="35">
        <v>1</v>
      </c>
      <c r="L158" s="35">
        <v>1</v>
      </c>
      <c r="M158" s="35">
        <v>1</v>
      </c>
      <c r="N158" s="35">
        <v>1</v>
      </c>
      <c r="O158" s="35">
        <v>1</v>
      </c>
      <c r="P158" s="35">
        <v>1</v>
      </c>
      <c r="Q158" s="35">
        <v>1</v>
      </c>
      <c r="R158" s="35">
        <v>1</v>
      </c>
      <c r="S158" s="35">
        <v>1</v>
      </c>
      <c r="T158" s="35">
        <v>1</v>
      </c>
      <c r="U158" s="35">
        <v>1</v>
      </c>
      <c r="V158" s="35">
        <v>1</v>
      </c>
      <c r="W158" s="35">
        <v>1</v>
      </c>
      <c r="X158" s="35">
        <v>1</v>
      </c>
      <c r="Y158" s="35">
        <v>1</v>
      </c>
      <c r="Z158" s="35">
        <v>1</v>
      </c>
      <c r="AA158" s="35">
        <v>1</v>
      </c>
      <c r="AB158" s="36">
        <v>1</v>
      </c>
      <c r="AC158" s="36">
        <v>1</v>
      </c>
      <c r="AD158" s="36">
        <v>1</v>
      </c>
      <c r="AE158" s="30">
        <v>1</v>
      </c>
      <c r="AF158" s="56"/>
      <c r="AG158" s="56"/>
      <c r="AH158" s="56"/>
      <c r="AI158" t="str">
        <f t="shared" si="4"/>
        <v xml:space="preserve">1998, 1999, 2000, 2001, 2002, 2003, 2004, 2005, 2006, 2007, 2008, 2009, 2010, 2011, 2012, 2013, 2014, 2015, 2016, 2017, 2018, 2019, 2020, 2021, 2022, </v>
      </c>
      <c r="AJ158" s="32" t="s">
        <v>376</v>
      </c>
      <c r="AK158" s="37" t="s">
        <v>390</v>
      </c>
    </row>
    <row r="159" spans="1:81" x14ac:dyDescent="0.2">
      <c r="B159" s="5">
        <v>156</v>
      </c>
      <c r="C159" s="30" t="s">
        <v>185</v>
      </c>
      <c r="D159" s="30" t="s">
        <v>391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6">
        <v>1</v>
      </c>
      <c r="S159" s="36">
        <v>1</v>
      </c>
      <c r="T159" s="36">
        <v>1</v>
      </c>
      <c r="U159" s="36">
        <v>1</v>
      </c>
      <c r="V159" s="36">
        <v>1</v>
      </c>
      <c r="W159" s="36">
        <v>1</v>
      </c>
      <c r="X159" s="36">
        <v>1</v>
      </c>
      <c r="Y159" s="36">
        <v>1</v>
      </c>
      <c r="Z159" s="36">
        <v>1</v>
      </c>
      <c r="AA159" s="36">
        <v>1</v>
      </c>
      <c r="AB159" s="36">
        <v>1</v>
      </c>
      <c r="AC159" s="30">
        <v>1</v>
      </c>
      <c r="AD159" s="36">
        <v>1</v>
      </c>
      <c r="AE159" s="30">
        <v>1</v>
      </c>
      <c r="AF159" s="39">
        <v>1</v>
      </c>
      <c r="AG159" s="39">
        <v>1</v>
      </c>
      <c r="AH159" s="39">
        <v>1</v>
      </c>
      <c r="AI159" t="str">
        <f t="shared" si="4"/>
        <v xml:space="preserve">2009, 2010, 2011, 2012, 2013, 2014, 2015, 2016, 2017, 2018, 2019, 2020, 2021, 2022, 2023, 2024, 2025, </v>
      </c>
      <c r="AJ159" s="39"/>
      <c r="AK159" s="41" t="s">
        <v>392</v>
      </c>
      <c r="AL159" t="s">
        <v>392</v>
      </c>
      <c r="AM159"/>
      <c r="CC159" s="29"/>
    </row>
    <row r="160" spans="1:81" x14ac:dyDescent="0.2">
      <c r="B160" s="5">
        <v>157</v>
      </c>
      <c r="C160" s="30" t="s">
        <v>186</v>
      </c>
      <c r="D160" s="30" t="s">
        <v>393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8">
        <v>1</v>
      </c>
      <c r="AA160" s="38">
        <v>1</v>
      </c>
      <c r="AB160" s="38">
        <v>1</v>
      </c>
      <c r="AC160" s="30">
        <v>0</v>
      </c>
      <c r="AD160" s="39"/>
      <c r="AE160" s="39">
        <v>1</v>
      </c>
      <c r="AF160" s="58"/>
      <c r="AG160" s="39"/>
      <c r="AH160" s="39"/>
      <c r="AI160" t="str">
        <f t="shared" si="4"/>
        <v xml:space="preserve">2017, 2018, 2019, 2022, </v>
      </c>
      <c r="AJ160" s="41" t="s">
        <v>394</v>
      </c>
      <c r="AK160" s="39"/>
      <c r="AL160" t="s">
        <v>395</v>
      </c>
      <c r="AM160"/>
      <c r="CC160" s="29"/>
    </row>
    <row r="161" spans="2:81" x14ac:dyDescent="0.2">
      <c r="B161" s="5">
        <v>158</v>
      </c>
      <c r="C161" s="30" t="s">
        <v>187</v>
      </c>
      <c r="D161" s="30" t="s">
        <v>396</v>
      </c>
      <c r="E161" s="36">
        <v>1</v>
      </c>
      <c r="F161" s="36">
        <v>1</v>
      </c>
      <c r="G161" s="36">
        <v>1</v>
      </c>
      <c r="H161" s="36">
        <v>1</v>
      </c>
      <c r="I161" s="36">
        <v>1</v>
      </c>
      <c r="J161" s="36">
        <v>1</v>
      </c>
      <c r="K161" s="36">
        <v>1</v>
      </c>
      <c r="L161" s="36">
        <v>1</v>
      </c>
      <c r="M161" s="36">
        <v>1</v>
      </c>
      <c r="N161" s="36">
        <v>1</v>
      </c>
      <c r="O161" s="36">
        <v>1</v>
      </c>
      <c r="P161" s="36">
        <v>1</v>
      </c>
      <c r="Q161" s="36">
        <v>1</v>
      </c>
      <c r="R161" s="36">
        <v>1</v>
      </c>
      <c r="S161" s="36">
        <v>1</v>
      </c>
      <c r="T161" s="36">
        <v>1</v>
      </c>
      <c r="U161" s="36">
        <v>1</v>
      </c>
      <c r="V161" s="36">
        <v>1</v>
      </c>
      <c r="W161" s="36">
        <v>1</v>
      </c>
      <c r="X161" s="36">
        <v>1</v>
      </c>
      <c r="Y161" s="36">
        <v>1</v>
      </c>
      <c r="Z161" s="36">
        <v>1</v>
      </c>
      <c r="AA161" s="36">
        <v>1</v>
      </c>
      <c r="AB161" s="36">
        <v>1</v>
      </c>
      <c r="AC161" s="30">
        <v>0</v>
      </c>
      <c r="AD161" s="36">
        <v>1</v>
      </c>
      <c r="AE161" s="30">
        <v>1</v>
      </c>
      <c r="AF161" s="39"/>
      <c r="AG161" s="39">
        <v>1</v>
      </c>
      <c r="AH161" s="39">
        <v>1</v>
      </c>
      <c r="AI161" t="str">
        <f t="shared" si="4"/>
        <v xml:space="preserve">1996, 1997, 1998, 1999, 2000, 2001, 2002, 2003, 2004, 2005, 2006, 2007, 2008, 2009, 2010, 2011, 2012, 2013, 2014, 2015, 2016, 2017, 2018, 2019, 2021, 2022, 2024, 2025, </v>
      </c>
      <c r="AJ161" s="39"/>
      <c r="AK161" s="41" t="s">
        <v>397</v>
      </c>
      <c r="AL161" t="s">
        <v>398</v>
      </c>
      <c r="AM161"/>
      <c r="CC161" s="29"/>
    </row>
    <row r="162" spans="2:81" x14ac:dyDescent="0.2">
      <c r="B162" s="5">
        <v>159</v>
      </c>
      <c r="C162" s="30" t="s">
        <v>188</v>
      </c>
      <c r="D162" s="30" t="s">
        <v>399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1</v>
      </c>
      <c r="L162" s="30">
        <v>1</v>
      </c>
      <c r="M162" s="38">
        <v>1</v>
      </c>
      <c r="N162" s="38">
        <v>1</v>
      </c>
      <c r="O162" s="38">
        <v>1</v>
      </c>
      <c r="P162" s="38">
        <v>1</v>
      </c>
      <c r="Q162" s="38">
        <v>1</v>
      </c>
      <c r="R162" s="38">
        <v>1</v>
      </c>
      <c r="S162" s="38">
        <v>1</v>
      </c>
      <c r="T162" s="38">
        <v>1</v>
      </c>
      <c r="U162" s="38">
        <v>1</v>
      </c>
      <c r="V162" s="38">
        <v>1</v>
      </c>
      <c r="W162" s="38">
        <v>1</v>
      </c>
      <c r="X162" s="38">
        <v>1</v>
      </c>
      <c r="Y162" s="38">
        <v>1</v>
      </c>
      <c r="Z162" s="38">
        <v>1</v>
      </c>
      <c r="AA162" s="38">
        <v>1</v>
      </c>
      <c r="AB162" s="38">
        <v>1</v>
      </c>
      <c r="AC162" s="30">
        <v>1</v>
      </c>
      <c r="AD162" s="36">
        <v>1</v>
      </c>
      <c r="AE162" s="30">
        <v>1</v>
      </c>
      <c r="AF162" s="59">
        <v>1</v>
      </c>
      <c r="AG162" s="39">
        <v>1</v>
      </c>
      <c r="AH162" s="39">
        <v>1</v>
      </c>
      <c r="AI162" t="str">
        <f t="shared" si="4"/>
        <v xml:space="preserve">2002, 2003, 2004, 2005, 2006, 2007, 2008, 2009, 2010, 2011, 2012, 2013, 2014, 2015, 2016, 2017, 2018, 2019, 2020, 2021, 2022, 2023, 2024, 2025, </v>
      </c>
      <c r="AJ162" s="41" t="s">
        <v>400</v>
      </c>
      <c r="AK162" s="41" t="s">
        <v>401</v>
      </c>
      <c r="AL162" s="40" t="s">
        <v>402</v>
      </c>
      <c r="AM162"/>
      <c r="CC162" s="29"/>
    </row>
    <row r="163" spans="2:81" x14ac:dyDescent="0.2">
      <c r="B163" s="5">
        <v>160</v>
      </c>
      <c r="C163" s="30" t="s">
        <v>189</v>
      </c>
      <c r="D163" s="30" t="s">
        <v>403</v>
      </c>
      <c r="E163" s="36">
        <v>1</v>
      </c>
      <c r="F163" s="36">
        <v>1</v>
      </c>
      <c r="G163" s="36">
        <v>1</v>
      </c>
      <c r="H163" s="36">
        <v>1</v>
      </c>
      <c r="I163" s="36">
        <v>1</v>
      </c>
      <c r="J163" s="36">
        <v>1</v>
      </c>
      <c r="K163" s="36">
        <v>1</v>
      </c>
      <c r="L163" s="36">
        <v>1</v>
      </c>
      <c r="M163" s="36">
        <v>1</v>
      </c>
      <c r="N163" s="36">
        <v>1</v>
      </c>
      <c r="O163" s="36">
        <v>1</v>
      </c>
      <c r="P163" s="36">
        <v>1</v>
      </c>
      <c r="Q163" s="36">
        <v>1</v>
      </c>
      <c r="R163" s="36">
        <v>1</v>
      </c>
      <c r="S163" s="36">
        <v>1</v>
      </c>
      <c r="T163" s="36">
        <v>1</v>
      </c>
      <c r="U163" s="36">
        <v>1</v>
      </c>
      <c r="V163" s="36">
        <v>1</v>
      </c>
      <c r="W163" s="36">
        <v>1</v>
      </c>
      <c r="X163" s="36">
        <v>1</v>
      </c>
      <c r="Y163" s="36">
        <v>1</v>
      </c>
      <c r="Z163" s="36">
        <v>1</v>
      </c>
      <c r="AA163" s="36">
        <v>1</v>
      </c>
      <c r="AB163" s="36">
        <v>1</v>
      </c>
      <c r="AC163" s="30">
        <v>1</v>
      </c>
      <c r="AD163" s="36">
        <v>1</v>
      </c>
      <c r="AE163" s="30">
        <v>1</v>
      </c>
      <c r="AF163" s="39"/>
      <c r="AG163" s="39"/>
      <c r="AH163" s="39">
        <v>1</v>
      </c>
      <c r="AI163" t="str">
        <f t="shared" si="4"/>
        <v xml:space="preserve">1996, 1997, 1998, 1999, 2000, 2001, 2002, 2003, 2004, 2005, 2006, 2007, 2008, 2009, 2010, 2011, 2012, 2013, 2014, 2015, 2016, 2017, 2018, 2019, 2020, 2021, 2022, 2025, </v>
      </c>
      <c r="AJ163" s="39"/>
      <c r="AK163" s="41" t="s">
        <v>404</v>
      </c>
      <c r="AL163" s="40" t="s">
        <v>405</v>
      </c>
      <c r="AM163" s="40" t="s">
        <v>406</v>
      </c>
      <c r="CC163" s="29"/>
    </row>
    <row r="164" spans="2:81" x14ac:dyDescent="0.2">
      <c r="B164" s="5">
        <v>161</v>
      </c>
      <c r="C164" s="30" t="s">
        <v>190</v>
      </c>
      <c r="D164" s="30" t="s">
        <v>407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6">
        <v>1</v>
      </c>
      <c r="Z164" s="36">
        <v>1</v>
      </c>
      <c r="AA164" s="36">
        <v>1</v>
      </c>
      <c r="AB164" s="36">
        <v>1</v>
      </c>
      <c r="AC164" s="30">
        <v>0</v>
      </c>
      <c r="AD164" s="39"/>
      <c r="AE164" s="39"/>
      <c r="AF164" s="39"/>
      <c r="AG164" s="39">
        <v>1</v>
      </c>
      <c r="AH164" s="39">
        <v>1</v>
      </c>
      <c r="AI164" t="str">
        <f t="shared" si="4"/>
        <v xml:space="preserve">2016, 2017, 2018, 2019, 2024, 2025, </v>
      </c>
      <c r="AJ164" s="39"/>
      <c r="AK164" s="41" t="s">
        <v>408</v>
      </c>
      <c r="AL164"/>
      <c r="AM164"/>
      <c r="CC164" s="29"/>
    </row>
    <row r="165" spans="2:81" ht="14.25" customHeight="1" x14ac:dyDescent="0.2">
      <c r="B165" s="5">
        <v>162</v>
      </c>
      <c r="C165" s="30" t="s">
        <v>191</v>
      </c>
      <c r="D165" s="30" t="s">
        <v>409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6">
        <v>1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8">
        <v>1</v>
      </c>
      <c r="X165" s="30">
        <v>0</v>
      </c>
      <c r="Y165" s="30">
        <v>0</v>
      </c>
      <c r="Z165" s="38">
        <v>1</v>
      </c>
      <c r="AA165" s="38">
        <v>1</v>
      </c>
      <c r="AB165" s="38">
        <v>1</v>
      </c>
      <c r="AC165" s="30">
        <v>0</v>
      </c>
      <c r="AD165" s="39"/>
      <c r="AE165" s="39">
        <v>1</v>
      </c>
      <c r="AF165" s="60">
        <v>1</v>
      </c>
      <c r="AG165" s="39"/>
      <c r="AH165" s="39">
        <v>1</v>
      </c>
      <c r="AI165" t="str">
        <f t="shared" si="4"/>
        <v xml:space="preserve">2008, 2014, 2017, 2018, 2019, 2022, 2023, 2025, </v>
      </c>
      <c r="AJ165" s="41" t="s">
        <v>410</v>
      </c>
      <c r="AK165" s="39" t="s">
        <v>411</v>
      </c>
      <c r="AL165" s="40" t="s">
        <v>412</v>
      </c>
      <c r="AM165"/>
      <c r="CC165" s="29"/>
    </row>
    <row r="166" spans="2:81" x14ac:dyDescent="0.2">
      <c r="B166" s="5">
        <v>163</v>
      </c>
      <c r="C166" s="30" t="s">
        <v>192</v>
      </c>
      <c r="D166" s="30" t="s">
        <v>413</v>
      </c>
      <c r="E166" s="38">
        <v>1</v>
      </c>
      <c r="F166" s="38">
        <v>1</v>
      </c>
      <c r="G166" s="38">
        <v>1</v>
      </c>
      <c r="H166" s="38">
        <v>1</v>
      </c>
      <c r="I166" s="38">
        <v>1</v>
      </c>
      <c r="J166" s="38">
        <v>1</v>
      </c>
      <c r="K166" s="38">
        <v>1</v>
      </c>
      <c r="L166" s="38">
        <v>1</v>
      </c>
      <c r="M166" s="38">
        <v>1</v>
      </c>
      <c r="N166" s="38">
        <v>1</v>
      </c>
      <c r="O166" s="38">
        <v>1</v>
      </c>
      <c r="P166" s="38">
        <v>1</v>
      </c>
      <c r="Q166" s="38">
        <v>1</v>
      </c>
      <c r="R166" s="38">
        <v>1</v>
      </c>
      <c r="S166" s="38">
        <v>1</v>
      </c>
      <c r="T166" s="38">
        <v>1</v>
      </c>
      <c r="U166" s="38">
        <v>1</v>
      </c>
      <c r="V166" s="38">
        <v>1</v>
      </c>
      <c r="W166" s="38">
        <v>1</v>
      </c>
      <c r="X166" s="38">
        <v>1</v>
      </c>
      <c r="Y166" s="38">
        <v>1</v>
      </c>
      <c r="Z166" s="38">
        <v>1</v>
      </c>
      <c r="AA166" s="38">
        <v>1</v>
      </c>
      <c r="AB166" s="38">
        <v>1</v>
      </c>
      <c r="AC166" s="36">
        <v>1</v>
      </c>
      <c r="AD166" s="56">
        <v>1</v>
      </c>
      <c r="AE166" s="56">
        <v>1</v>
      </c>
      <c r="AF166" s="56">
        <v>1</v>
      </c>
      <c r="AG166" s="56">
        <v>1</v>
      </c>
      <c r="AH166" s="56">
        <v>1</v>
      </c>
      <c r="AI166" t="str">
        <f t="shared" si="4"/>
        <v xml:space="preserve">1996, 1997, 1998, 1999, 2000, 2001, 2002, 2003, 2004, 2005, 2006, 2007, 2008, 2009, 2010, 2011, 2012, 2013, 2014, 2015, 2016, 2017, 2018, 2019, 2020, 2021, 2022, 2023, 2024, 2025, </v>
      </c>
      <c r="AJ166" s="41" t="s">
        <v>414</v>
      </c>
      <c r="AK166" s="41" t="s">
        <v>415</v>
      </c>
      <c r="AL166"/>
      <c r="AM166"/>
      <c r="CC166" s="29"/>
    </row>
    <row r="167" spans="2:81" x14ac:dyDescent="0.2">
      <c r="B167" s="5">
        <v>164</v>
      </c>
      <c r="C167" s="30" t="s">
        <v>193</v>
      </c>
      <c r="D167" s="30" t="s">
        <v>416</v>
      </c>
      <c r="E167" s="38">
        <v>1</v>
      </c>
      <c r="F167" s="38">
        <v>1</v>
      </c>
      <c r="G167" s="38">
        <v>1</v>
      </c>
      <c r="H167" s="38">
        <v>1</v>
      </c>
      <c r="I167" s="38">
        <v>1</v>
      </c>
      <c r="J167" s="38">
        <v>1</v>
      </c>
      <c r="K167" s="38">
        <v>1</v>
      </c>
      <c r="L167" s="38">
        <v>1</v>
      </c>
      <c r="M167" s="38">
        <v>1</v>
      </c>
      <c r="N167" s="38">
        <v>1</v>
      </c>
      <c r="O167" s="38">
        <v>1</v>
      </c>
      <c r="P167" s="38">
        <v>1</v>
      </c>
      <c r="Q167" s="38">
        <v>1</v>
      </c>
      <c r="R167" s="38">
        <v>1</v>
      </c>
      <c r="S167" s="38">
        <v>1</v>
      </c>
      <c r="T167" s="38">
        <v>1</v>
      </c>
      <c r="U167" s="38">
        <v>1</v>
      </c>
      <c r="V167" s="38">
        <v>1</v>
      </c>
      <c r="W167" s="38">
        <v>1</v>
      </c>
      <c r="X167" s="38">
        <v>1</v>
      </c>
      <c r="Y167" s="38">
        <v>1</v>
      </c>
      <c r="Z167" s="38">
        <v>1</v>
      </c>
      <c r="AA167" s="38">
        <v>1</v>
      </c>
      <c r="AB167" s="38">
        <v>1</v>
      </c>
      <c r="AC167" s="30">
        <v>1</v>
      </c>
      <c r="AD167" s="36">
        <v>1</v>
      </c>
      <c r="AE167" s="30">
        <v>1</v>
      </c>
      <c r="AF167" s="39"/>
      <c r="AG167" s="39">
        <v>1</v>
      </c>
      <c r="AH167" s="39">
        <v>1</v>
      </c>
      <c r="AI167" t="str">
        <f t="shared" si="4"/>
        <v xml:space="preserve">1996, 1997, 1998, 1999, 2000, 2001, 2002, 2003, 2004, 2005, 2006, 2007, 2008, 2009, 2010, 2011, 2012, 2013, 2014, 2015, 2016, 2017, 2018, 2019, 2020, 2021, 2022, 2024, 2025, </v>
      </c>
      <c r="AJ167" s="41" t="s">
        <v>417</v>
      </c>
      <c r="AK167" s="39" t="s">
        <v>418</v>
      </c>
      <c r="AL167"/>
      <c r="AM167"/>
      <c r="CC167" s="29"/>
    </row>
    <row r="168" spans="2:81" x14ac:dyDescent="0.2">
      <c r="B168" s="5">
        <v>165</v>
      </c>
      <c r="C168" s="30" t="s">
        <v>194</v>
      </c>
      <c r="D168" s="30" t="s">
        <v>419</v>
      </c>
      <c r="E168" s="36">
        <v>1</v>
      </c>
      <c r="F168" s="36">
        <v>1</v>
      </c>
      <c r="G168" s="36">
        <v>1</v>
      </c>
      <c r="H168" s="36">
        <v>1</v>
      </c>
      <c r="I168" s="36">
        <v>1</v>
      </c>
      <c r="J168" s="36">
        <v>1</v>
      </c>
      <c r="K168" s="36">
        <v>1</v>
      </c>
      <c r="L168" s="36">
        <v>1</v>
      </c>
      <c r="M168" s="36">
        <v>1</v>
      </c>
      <c r="N168" s="36">
        <v>1</v>
      </c>
      <c r="O168" s="36">
        <v>1</v>
      </c>
      <c r="P168" s="36">
        <v>1</v>
      </c>
      <c r="Q168" s="36">
        <v>1</v>
      </c>
      <c r="R168" s="36">
        <v>1</v>
      </c>
      <c r="S168" s="36">
        <v>1</v>
      </c>
      <c r="T168" s="36">
        <v>1</v>
      </c>
      <c r="U168" s="36">
        <v>1</v>
      </c>
      <c r="V168" s="36">
        <v>1</v>
      </c>
      <c r="W168" s="36">
        <v>1</v>
      </c>
      <c r="X168" s="36">
        <v>1</v>
      </c>
      <c r="Y168" s="36">
        <v>1</v>
      </c>
      <c r="Z168" s="36">
        <v>1</v>
      </c>
      <c r="AA168" s="36">
        <v>1</v>
      </c>
      <c r="AB168" s="36">
        <v>1</v>
      </c>
      <c r="AC168" s="30">
        <v>1</v>
      </c>
      <c r="AD168" s="36">
        <v>1</v>
      </c>
      <c r="AE168" s="30">
        <v>1</v>
      </c>
      <c r="AF168" s="39"/>
      <c r="AG168" s="39"/>
      <c r="AH168" s="39">
        <v>1</v>
      </c>
      <c r="AI168" t="str">
        <f t="shared" si="4"/>
        <v xml:space="preserve">1996, 1997, 1998, 1999, 2000, 2001, 2002, 2003, 2004, 2005, 2006, 2007, 2008, 2009, 2010, 2011, 2012, 2013, 2014, 2015, 2016, 2017, 2018, 2019, 2020, 2021, 2022, 2025, </v>
      </c>
      <c r="AJ168" s="39"/>
      <c r="AK168" s="41" t="s">
        <v>420</v>
      </c>
      <c r="AL168"/>
      <c r="AM168"/>
      <c r="CC168" s="29"/>
    </row>
    <row r="169" spans="2:81" x14ac:dyDescent="0.2">
      <c r="B169" s="5">
        <v>166</v>
      </c>
      <c r="C169" s="30" t="s">
        <v>195</v>
      </c>
      <c r="D169" s="30" t="s">
        <v>421</v>
      </c>
      <c r="E169" s="36">
        <v>1</v>
      </c>
      <c r="F169" s="36">
        <v>1</v>
      </c>
      <c r="G169" s="36">
        <v>1</v>
      </c>
      <c r="H169" s="36">
        <v>1</v>
      </c>
      <c r="I169" s="36">
        <v>1</v>
      </c>
      <c r="J169" s="36">
        <v>1</v>
      </c>
      <c r="K169" s="36">
        <v>1</v>
      </c>
      <c r="L169" s="36">
        <v>1</v>
      </c>
      <c r="M169" s="36">
        <v>1</v>
      </c>
      <c r="N169" s="36">
        <v>1</v>
      </c>
      <c r="O169" s="36">
        <v>1</v>
      </c>
      <c r="P169" s="36">
        <v>1</v>
      </c>
      <c r="Q169" s="36">
        <v>1</v>
      </c>
      <c r="R169" s="36">
        <v>1</v>
      </c>
      <c r="S169" s="36">
        <v>1</v>
      </c>
      <c r="T169" s="36">
        <v>1</v>
      </c>
      <c r="U169" s="36">
        <v>1</v>
      </c>
      <c r="V169" s="36">
        <v>1</v>
      </c>
      <c r="W169" s="36">
        <v>1</v>
      </c>
      <c r="X169" s="36">
        <v>1</v>
      </c>
      <c r="Y169" s="36">
        <v>1</v>
      </c>
      <c r="Z169" s="36">
        <v>1</v>
      </c>
      <c r="AA169" s="36">
        <v>1</v>
      </c>
      <c r="AB169" s="36">
        <v>1</v>
      </c>
      <c r="AC169" s="30">
        <v>1</v>
      </c>
      <c r="AD169" s="36">
        <v>1</v>
      </c>
      <c r="AE169" s="30">
        <v>1</v>
      </c>
      <c r="AF169" s="39"/>
      <c r="AG169" s="39">
        <v>1</v>
      </c>
      <c r="AH169" s="39">
        <v>1</v>
      </c>
      <c r="AI169" t="str">
        <f t="shared" si="4"/>
        <v xml:space="preserve">1996, 1997, 1998, 1999, 2000, 2001, 2002, 2003, 2004, 2005, 2006, 2007, 2008, 2009, 2010, 2011, 2012, 2013, 2014, 2015, 2016, 2017, 2018, 2019, 2020, 2021, 2022, 2024, 2025, </v>
      </c>
      <c r="AJ169" s="39"/>
      <c r="AK169" s="41" t="s">
        <v>422</v>
      </c>
      <c r="AL169" s="40" t="s">
        <v>423</v>
      </c>
      <c r="AM169" s="40" t="s">
        <v>424</v>
      </c>
      <c r="AN169" s="29" t="s">
        <v>425</v>
      </c>
      <c r="CC169" s="29"/>
    </row>
    <row r="170" spans="2:81" x14ac:dyDescent="0.2">
      <c r="B170" s="5">
        <v>167</v>
      </c>
      <c r="C170" s="30" t="s">
        <v>196</v>
      </c>
      <c r="D170" s="30" t="s">
        <v>426</v>
      </c>
      <c r="E170" s="36">
        <v>1</v>
      </c>
      <c r="F170" s="36">
        <v>1</v>
      </c>
      <c r="G170" s="36">
        <v>1</v>
      </c>
      <c r="H170" s="36">
        <v>1</v>
      </c>
      <c r="I170" s="36">
        <v>1</v>
      </c>
      <c r="J170" s="36">
        <v>1</v>
      </c>
      <c r="K170" s="36">
        <v>1</v>
      </c>
      <c r="L170" s="36">
        <v>1</v>
      </c>
      <c r="M170" s="36">
        <v>1</v>
      </c>
      <c r="N170" s="36">
        <v>1</v>
      </c>
      <c r="O170" s="36">
        <v>1</v>
      </c>
      <c r="P170" s="36">
        <v>1</v>
      </c>
      <c r="Q170" s="36">
        <v>1</v>
      </c>
      <c r="R170" s="36">
        <v>1</v>
      </c>
      <c r="S170" s="36">
        <v>1</v>
      </c>
      <c r="T170" s="36">
        <v>1</v>
      </c>
      <c r="U170" s="36">
        <v>1</v>
      </c>
      <c r="V170" s="36">
        <v>1</v>
      </c>
      <c r="W170" s="36">
        <v>1</v>
      </c>
      <c r="X170" s="36">
        <v>1</v>
      </c>
      <c r="Y170" s="36">
        <v>1</v>
      </c>
      <c r="Z170" s="36">
        <v>1</v>
      </c>
      <c r="AA170" s="36">
        <v>1</v>
      </c>
      <c r="AB170" s="36">
        <v>1</v>
      </c>
      <c r="AC170" s="36">
        <v>1</v>
      </c>
      <c r="AD170" s="36">
        <v>1</v>
      </c>
      <c r="AE170" s="30">
        <v>1</v>
      </c>
      <c r="AF170" s="56"/>
      <c r="AG170" s="56">
        <v>1</v>
      </c>
      <c r="AH170" s="56">
        <v>1</v>
      </c>
      <c r="AI170" t="str">
        <f t="shared" si="4"/>
        <v xml:space="preserve">1996, 1997, 1998, 1999, 2000, 2001, 2002, 2003, 2004, 2005, 2006, 2007, 2008, 2009, 2010, 2011, 2012, 2013, 2014, 2015, 2016, 2017, 2018, 2019, 2020, 2021, 2022, 2024, 2025, </v>
      </c>
      <c r="AJ170" s="39"/>
      <c r="AK170" s="41" t="s">
        <v>427</v>
      </c>
      <c r="AL170" s="40" t="s">
        <v>428</v>
      </c>
      <c r="AM170"/>
      <c r="CC170" s="29"/>
    </row>
    <row r="171" spans="2:81" x14ac:dyDescent="0.2">
      <c r="B171" s="5">
        <v>168</v>
      </c>
      <c r="C171" s="30" t="s">
        <v>197</v>
      </c>
      <c r="D171" s="30" t="s">
        <v>429</v>
      </c>
      <c r="E171" s="36">
        <v>1</v>
      </c>
      <c r="F171" s="36">
        <v>1</v>
      </c>
      <c r="G171" s="36">
        <v>1</v>
      </c>
      <c r="H171" s="36">
        <v>1</v>
      </c>
      <c r="I171" s="38">
        <v>1</v>
      </c>
      <c r="J171" s="38">
        <v>1</v>
      </c>
      <c r="K171" s="38">
        <v>1</v>
      </c>
      <c r="L171" s="38">
        <v>1</v>
      </c>
      <c r="M171" s="38">
        <v>1</v>
      </c>
      <c r="N171" s="38">
        <v>1</v>
      </c>
      <c r="O171" s="38">
        <v>1</v>
      </c>
      <c r="P171" s="38">
        <v>1</v>
      </c>
      <c r="Q171" s="38">
        <v>1</v>
      </c>
      <c r="R171" s="38">
        <v>1</v>
      </c>
      <c r="S171" s="38">
        <v>1</v>
      </c>
      <c r="T171" s="38">
        <v>1</v>
      </c>
      <c r="U171" s="38">
        <v>1</v>
      </c>
      <c r="V171" s="38">
        <v>1</v>
      </c>
      <c r="W171" s="38">
        <v>1</v>
      </c>
      <c r="X171" s="38">
        <v>1</v>
      </c>
      <c r="Y171" s="38">
        <v>1</v>
      </c>
      <c r="Z171" s="38">
        <v>1</v>
      </c>
      <c r="AA171" s="38">
        <v>1</v>
      </c>
      <c r="AB171" s="38">
        <v>1</v>
      </c>
      <c r="AC171" s="30">
        <v>1</v>
      </c>
      <c r="AD171" s="36">
        <v>1</v>
      </c>
      <c r="AE171" s="30">
        <v>1</v>
      </c>
      <c r="AF171" s="39"/>
      <c r="AG171" s="39">
        <v>1</v>
      </c>
      <c r="AH171" s="39">
        <v>1</v>
      </c>
      <c r="AI171" t="str">
        <f t="shared" si="4"/>
        <v xml:space="preserve">1996, 1997, 1998, 1999, 2000, 2001, 2002, 2003, 2004, 2005, 2006, 2007, 2008, 2009, 2010, 2011, 2012, 2013, 2014, 2015, 2016, 2017, 2018, 2019, 2020, 2021, 2022, 2024, 2025, </v>
      </c>
      <c r="AJ171" s="41" t="s">
        <v>430</v>
      </c>
      <c r="AK171" s="41" t="s">
        <v>431</v>
      </c>
      <c r="AL171" t="s">
        <v>432</v>
      </c>
      <c r="AM171" t="s">
        <v>425</v>
      </c>
      <c r="CC171" s="29"/>
    </row>
    <row r="172" spans="2:81" x14ac:dyDescent="0.2">
      <c r="B172" s="5">
        <v>169</v>
      </c>
      <c r="C172" s="30" t="s">
        <v>198</v>
      </c>
      <c r="D172" s="30" t="s">
        <v>433</v>
      </c>
      <c r="E172" s="36">
        <v>1</v>
      </c>
      <c r="F172" s="36">
        <v>1</v>
      </c>
      <c r="G172" s="36">
        <v>1</v>
      </c>
      <c r="H172" s="36">
        <v>1</v>
      </c>
      <c r="I172" s="36">
        <v>1</v>
      </c>
      <c r="J172" s="36">
        <v>1</v>
      </c>
      <c r="K172" s="36">
        <v>1</v>
      </c>
      <c r="L172" s="36">
        <v>1</v>
      </c>
      <c r="M172" s="36">
        <v>1</v>
      </c>
      <c r="N172" s="36">
        <v>1</v>
      </c>
      <c r="O172" s="36">
        <v>1</v>
      </c>
      <c r="P172" s="36">
        <v>1</v>
      </c>
      <c r="Q172" s="36">
        <v>1</v>
      </c>
      <c r="R172" s="36">
        <v>1</v>
      </c>
      <c r="S172" s="38">
        <v>1</v>
      </c>
      <c r="T172" s="38">
        <v>1</v>
      </c>
      <c r="U172" s="38">
        <v>1</v>
      </c>
      <c r="V172" s="36">
        <v>1</v>
      </c>
      <c r="W172" s="36">
        <v>1</v>
      </c>
      <c r="X172" s="36">
        <v>1</v>
      </c>
      <c r="Y172" s="36">
        <v>1</v>
      </c>
      <c r="Z172" s="36">
        <v>1</v>
      </c>
      <c r="AA172" s="36">
        <v>1</v>
      </c>
      <c r="AB172" s="36">
        <v>1</v>
      </c>
      <c r="AC172" s="30">
        <v>1</v>
      </c>
      <c r="AD172" s="36">
        <v>1</v>
      </c>
      <c r="AE172" s="30">
        <v>1</v>
      </c>
      <c r="AF172" s="39"/>
      <c r="AG172" s="39">
        <v>1</v>
      </c>
      <c r="AH172" s="39">
        <v>1</v>
      </c>
      <c r="AI172" t="str">
        <f t="shared" si="4"/>
        <v xml:space="preserve">1996, 1997, 1998, 1999, 2000, 2001, 2002, 2003, 2004, 2005, 2006, 2007, 2008, 2009, 2010, 2011, 2012, 2013, 2014, 2015, 2016, 2017, 2018, 2019, 2020, 2021, 2022, 2024, 2025, </v>
      </c>
      <c r="AJ172" s="41" t="s">
        <v>434</v>
      </c>
      <c r="AK172" s="41" t="s">
        <v>435</v>
      </c>
      <c r="AL172" s="40" t="s">
        <v>436</v>
      </c>
      <c r="AM172" s="40" t="s">
        <v>437</v>
      </c>
      <c r="CC172" s="29"/>
    </row>
    <row r="173" spans="2:81" x14ac:dyDescent="0.2">
      <c r="B173" s="5">
        <v>170</v>
      </c>
      <c r="C173" s="30" t="s">
        <v>199</v>
      </c>
      <c r="D173" s="30" t="s">
        <v>438</v>
      </c>
      <c r="E173" s="36">
        <v>1</v>
      </c>
      <c r="F173" s="36">
        <v>1</v>
      </c>
      <c r="G173" s="36">
        <v>1</v>
      </c>
      <c r="H173" s="36">
        <v>1</v>
      </c>
      <c r="I173" s="36">
        <v>1</v>
      </c>
      <c r="J173" s="36">
        <v>1</v>
      </c>
      <c r="K173" s="36">
        <v>1</v>
      </c>
      <c r="L173" s="36">
        <v>1</v>
      </c>
      <c r="M173" s="36">
        <v>1</v>
      </c>
      <c r="N173" s="36">
        <v>1</v>
      </c>
      <c r="O173" s="36">
        <v>1</v>
      </c>
      <c r="P173" s="36">
        <v>1</v>
      </c>
      <c r="Q173" s="36">
        <v>1</v>
      </c>
      <c r="R173" s="36">
        <v>1</v>
      </c>
      <c r="S173" s="36">
        <v>1</v>
      </c>
      <c r="T173" s="36">
        <v>1</v>
      </c>
      <c r="U173" s="36">
        <v>1</v>
      </c>
      <c r="V173" s="36">
        <v>1</v>
      </c>
      <c r="W173" s="36">
        <v>1</v>
      </c>
      <c r="X173" s="36">
        <v>1</v>
      </c>
      <c r="Y173" s="36">
        <v>1</v>
      </c>
      <c r="Z173" s="36">
        <v>1</v>
      </c>
      <c r="AA173" s="36">
        <v>1</v>
      </c>
      <c r="AB173" s="36">
        <v>1</v>
      </c>
      <c r="AC173" s="36">
        <v>1</v>
      </c>
      <c r="AD173" s="36">
        <v>1</v>
      </c>
      <c r="AE173" s="30">
        <v>1</v>
      </c>
      <c r="AF173" s="56"/>
      <c r="AG173" s="56"/>
      <c r="AH173" s="56">
        <v>1</v>
      </c>
      <c r="AI173" t="str">
        <f t="shared" si="4"/>
        <v xml:space="preserve">1996, 1997, 1998, 1999, 2000, 2001, 2002, 2003, 2004, 2005, 2006, 2007, 2008, 2009, 2010, 2011, 2012, 2013, 2014, 2015, 2016, 2017, 2018, 2019, 2020, 2021, 2022, 2025, </v>
      </c>
      <c r="AJ173" s="39"/>
      <c r="AK173" s="41" t="s">
        <v>439</v>
      </c>
      <c r="AL173" t="s">
        <v>440</v>
      </c>
      <c r="AM173" t="s">
        <v>441</v>
      </c>
      <c r="CC173" s="29"/>
    </row>
    <row r="174" spans="2:81" x14ac:dyDescent="0.2">
      <c r="B174" s="5">
        <v>171</v>
      </c>
      <c r="C174" s="30" t="s">
        <v>200</v>
      </c>
      <c r="D174" s="30" t="s">
        <v>442</v>
      </c>
      <c r="E174" s="36">
        <v>1</v>
      </c>
      <c r="F174" s="36">
        <v>1</v>
      </c>
      <c r="G174" s="36">
        <v>1</v>
      </c>
      <c r="H174" s="36">
        <v>1</v>
      </c>
      <c r="I174" s="36">
        <v>1</v>
      </c>
      <c r="J174" s="36">
        <v>1</v>
      </c>
      <c r="K174" s="36">
        <v>1</v>
      </c>
      <c r="L174" s="38">
        <v>1</v>
      </c>
      <c r="M174" s="38">
        <v>1</v>
      </c>
      <c r="N174" s="38">
        <v>1</v>
      </c>
      <c r="O174" s="38">
        <v>1</v>
      </c>
      <c r="P174" s="38">
        <v>1</v>
      </c>
      <c r="Q174" s="38">
        <v>1</v>
      </c>
      <c r="R174" s="38">
        <v>1</v>
      </c>
      <c r="S174" s="38">
        <v>1</v>
      </c>
      <c r="T174" s="38">
        <v>1</v>
      </c>
      <c r="U174" s="38">
        <v>1</v>
      </c>
      <c r="V174" s="38">
        <v>1</v>
      </c>
      <c r="W174" s="38">
        <v>1</v>
      </c>
      <c r="X174" s="38">
        <v>1</v>
      </c>
      <c r="Y174" s="38">
        <v>1</v>
      </c>
      <c r="Z174" s="38">
        <v>1</v>
      </c>
      <c r="AA174" s="38">
        <v>1</v>
      </c>
      <c r="AB174" s="36">
        <v>1</v>
      </c>
      <c r="AC174" s="36">
        <v>1</v>
      </c>
      <c r="AD174" s="36">
        <v>1</v>
      </c>
      <c r="AE174" s="30">
        <v>1</v>
      </c>
      <c r="AF174" s="56"/>
      <c r="AG174" s="56"/>
      <c r="AH174" s="56">
        <v>1</v>
      </c>
      <c r="AI174" t="str">
        <f t="shared" si="4"/>
        <v xml:space="preserve">1996, 1997, 1998, 1999, 2000, 2001, 2002, 2003, 2004, 2005, 2006, 2007, 2008, 2009, 2010, 2011, 2012, 2013, 2014, 2015, 2016, 2017, 2018, 2019, 2020, 2021, 2022, 2025, </v>
      </c>
      <c r="AJ174" s="39" t="s">
        <v>443</v>
      </c>
      <c r="AK174" s="41" t="s">
        <v>444</v>
      </c>
      <c r="AL174"/>
      <c r="AM174"/>
      <c r="CC174" s="29"/>
    </row>
    <row r="175" spans="2:81" x14ac:dyDescent="0.2">
      <c r="B175" s="5">
        <v>172</v>
      </c>
      <c r="C175" s="30" t="s">
        <v>201</v>
      </c>
      <c r="D175" s="30" t="s">
        <v>445</v>
      </c>
      <c r="E175" s="38">
        <v>1</v>
      </c>
      <c r="F175" s="38">
        <v>1</v>
      </c>
      <c r="G175" s="38">
        <v>1</v>
      </c>
      <c r="H175" s="38">
        <v>1</v>
      </c>
      <c r="I175" s="38">
        <v>1</v>
      </c>
      <c r="J175" s="38">
        <v>1</v>
      </c>
      <c r="K175" s="38">
        <v>1</v>
      </c>
      <c r="L175" s="38">
        <v>1</v>
      </c>
      <c r="M175" s="38">
        <v>1</v>
      </c>
      <c r="N175" s="38">
        <v>1</v>
      </c>
      <c r="O175" s="38">
        <v>1</v>
      </c>
      <c r="P175" s="38">
        <v>1</v>
      </c>
      <c r="Q175" s="38">
        <v>1</v>
      </c>
      <c r="R175" s="38">
        <v>1</v>
      </c>
      <c r="S175" s="38">
        <v>1</v>
      </c>
      <c r="T175" s="38">
        <v>1</v>
      </c>
      <c r="U175" s="38">
        <v>1</v>
      </c>
      <c r="V175" s="38">
        <v>1</v>
      </c>
      <c r="W175" s="38">
        <v>1</v>
      </c>
      <c r="X175" s="38">
        <v>1</v>
      </c>
      <c r="Y175" s="38">
        <v>1</v>
      </c>
      <c r="Z175" s="38">
        <v>1</v>
      </c>
      <c r="AA175" s="38">
        <v>1</v>
      </c>
      <c r="AB175" s="38">
        <v>1</v>
      </c>
      <c r="AC175" s="30">
        <v>1</v>
      </c>
      <c r="AD175" s="36">
        <v>1</v>
      </c>
      <c r="AE175" s="30">
        <v>1</v>
      </c>
      <c r="AF175" s="39">
        <v>1</v>
      </c>
      <c r="AG175" s="39">
        <v>1</v>
      </c>
      <c r="AH175" s="39">
        <v>1</v>
      </c>
      <c r="AI175" t="str">
        <f t="shared" si="4"/>
        <v xml:space="preserve">1996, 1997, 1998, 1999, 2000, 2001, 2002, 2003, 2004, 2005, 2006, 2007, 2008, 2009, 2010, 2011, 2012, 2013, 2014, 2015, 2016, 2017, 2018, 2019, 2020, 2021, 2022, 2023, 2024, 2025, </v>
      </c>
      <c r="AJ175" s="39" t="s">
        <v>446</v>
      </c>
      <c r="AK175" s="41" t="s">
        <v>447</v>
      </c>
      <c r="AL175" t="s">
        <v>448</v>
      </c>
      <c r="AM175"/>
      <c r="CC175" s="29"/>
    </row>
    <row r="176" spans="2:81" x14ac:dyDescent="0.2">
      <c r="B176" s="5">
        <v>173</v>
      </c>
      <c r="C176" s="30" t="s">
        <v>202</v>
      </c>
      <c r="D176" s="30" t="s">
        <v>449</v>
      </c>
      <c r="E176" s="30">
        <v>0</v>
      </c>
      <c r="F176" s="30">
        <v>0</v>
      </c>
      <c r="G176" s="38">
        <v>1</v>
      </c>
      <c r="H176" s="38">
        <v>1</v>
      </c>
      <c r="I176" s="38">
        <v>1</v>
      </c>
      <c r="J176" s="38">
        <v>1</v>
      </c>
      <c r="K176" s="38">
        <v>1</v>
      </c>
      <c r="L176" s="38">
        <v>1</v>
      </c>
      <c r="M176" s="38">
        <v>1</v>
      </c>
      <c r="N176" s="38">
        <v>1</v>
      </c>
      <c r="O176" s="38">
        <v>1</v>
      </c>
      <c r="P176" s="38">
        <v>1</v>
      </c>
      <c r="Q176" s="38">
        <v>1</v>
      </c>
      <c r="R176" s="38">
        <v>1</v>
      </c>
      <c r="S176" s="38">
        <v>1</v>
      </c>
      <c r="T176" s="38">
        <v>1</v>
      </c>
      <c r="U176" s="38">
        <v>1</v>
      </c>
      <c r="V176" s="38">
        <v>1</v>
      </c>
      <c r="W176" s="38">
        <v>1</v>
      </c>
      <c r="X176" s="38">
        <v>1</v>
      </c>
      <c r="Y176" s="38">
        <v>1</v>
      </c>
      <c r="Z176" s="38">
        <v>1</v>
      </c>
      <c r="AA176" s="38">
        <v>1</v>
      </c>
      <c r="AB176" s="38">
        <v>1</v>
      </c>
      <c r="AC176" s="30">
        <v>1</v>
      </c>
      <c r="AD176" s="36">
        <v>1</v>
      </c>
      <c r="AE176" s="30">
        <v>1</v>
      </c>
      <c r="AF176" s="39"/>
      <c r="AG176" s="39">
        <v>1</v>
      </c>
      <c r="AH176" s="39">
        <v>1</v>
      </c>
      <c r="AI176" t="str">
        <f t="shared" si="4"/>
        <v xml:space="preserve">1998, 1999, 2000, 2001, 2002, 2003, 2004, 2005, 2006, 2007, 2008, 2009, 2010, 2011, 2012, 2013, 2014, 2015, 2016, 2017, 2018, 2019, 2020, 2021, 2022, 2024, 2025, </v>
      </c>
      <c r="AJ176" s="39" t="s">
        <v>450</v>
      </c>
      <c r="AK176" s="39" t="s">
        <v>451</v>
      </c>
      <c r="AL176"/>
      <c r="AM176"/>
      <c r="CC176" s="29"/>
    </row>
    <row r="177" spans="2:81" x14ac:dyDescent="0.2">
      <c r="B177" s="5">
        <v>174</v>
      </c>
      <c r="C177" s="30" t="s">
        <v>203</v>
      </c>
      <c r="D177" s="30" t="s">
        <v>452</v>
      </c>
      <c r="E177" s="36">
        <v>1</v>
      </c>
      <c r="F177" s="36">
        <v>1</v>
      </c>
      <c r="G177" s="36">
        <v>1</v>
      </c>
      <c r="H177" s="36">
        <v>1</v>
      </c>
      <c r="I177" s="36">
        <v>1</v>
      </c>
      <c r="J177" s="36">
        <v>1</v>
      </c>
      <c r="K177" s="36">
        <v>1</v>
      </c>
      <c r="L177" s="36">
        <v>1</v>
      </c>
      <c r="M177" s="36">
        <v>1</v>
      </c>
      <c r="N177" s="36">
        <v>1</v>
      </c>
      <c r="O177" s="36">
        <v>1</v>
      </c>
      <c r="P177" s="36">
        <v>1</v>
      </c>
      <c r="Q177" s="36">
        <v>1</v>
      </c>
      <c r="R177" s="36">
        <v>1</v>
      </c>
      <c r="S177" s="36">
        <v>1</v>
      </c>
      <c r="T177" s="36">
        <v>1</v>
      </c>
      <c r="U177" s="36">
        <v>1</v>
      </c>
      <c r="V177" s="36">
        <v>1</v>
      </c>
      <c r="W177" s="36">
        <v>1</v>
      </c>
      <c r="X177" s="36">
        <v>1</v>
      </c>
      <c r="Y177" s="36">
        <v>1</v>
      </c>
      <c r="Z177" s="36">
        <v>1</v>
      </c>
      <c r="AA177" s="36">
        <v>1</v>
      </c>
      <c r="AB177" s="36">
        <v>1</v>
      </c>
      <c r="AC177" s="36">
        <v>1</v>
      </c>
      <c r="AD177" s="36">
        <v>1</v>
      </c>
      <c r="AE177" s="30">
        <v>1</v>
      </c>
      <c r="AF177" s="56"/>
      <c r="AG177" s="56">
        <v>1</v>
      </c>
      <c r="AH177" s="56">
        <v>1</v>
      </c>
      <c r="AI177" t="str">
        <f t="shared" si="4"/>
        <v xml:space="preserve">1996, 1997, 1998, 1999, 2000, 2001, 2002, 2003, 2004, 2005, 2006, 2007, 2008, 2009, 2010, 2011, 2012, 2013, 2014, 2015, 2016, 2017, 2018, 2019, 2020, 2021, 2022, 2024, 2025, </v>
      </c>
      <c r="AJ177" s="39"/>
      <c r="AK177" s="41" t="s">
        <v>453</v>
      </c>
      <c r="AL177" t="s">
        <v>454</v>
      </c>
      <c r="AM177"/>
      <c r="CC177" s="29"/>
    </row>
    <row r="178" spans="2:81" x14ac:dyDescent="0.2">
      <c r="B178" s="5">
        <v>175</v>
      </c>
      <c r="C178" s="30" t="s">
        <v>204</v>
      </c>
      <c r="D178" s="30" t="s">
        <v>455</v>
      </c>
      <c r="E178" s="36">
        <v>1</v>
      </c>
      <c r="F178" s="36">
        <v>1</v>
      </c>
      <c r="G178" s="36">
        <v>1</v>
      </c>
      <c r="H178" s="36">
        <v>1</v>
      </c>
      <c r="I178" s="36">
        <v>1</v>
      </c>
      <c r="J178" s="36">
        <v>1</v>
      </c>
      <c r="K178" s="36">
        <v>1</v>
      </c>
      <c r="L178" s="36">
        <v>1</v>
      </c>
      <c r="M178" s="36">
        <v>1</v>
      </c>
      <c r="N178" s="36">
        <v>1</v>
      </c>
      <c r="O178" s="36">
        <v>1</v>
      </c>
      <c r="P178" s="36">
        <v>1</v>
      </c>
      <c r="Q178" s="36">
        <v>1</v>
      </c>
      <c r="R178" s="36">
        <v>1</v>
      </c>
      <c r="S178" s="36">
        <v>1</v>
      </c>
      <c r="T178" s="36">
        <v>1</v>
      </c>
      <c r="U178" s="38">
        <v>1</v>
      </c>
      <c r="V178" s="38">
        <v>1</v>
      </c>
      <c r="W178" s="38">
        <v>1</v>
      </c>
      <c r="X178" s="38">
        <v>1</v>
      </c>
      <c r="Y178" s="38">
        <v>1</v>
      </c>
      <c r="Z178" s="38">
        <v>1</v>
      </c>
      <c r="AA178" s="36">
        <v>1</v>
      </c>
      <c r="AB178" s="36">
        <v>1</v>
      </c>
      <c r="AC178" s="36">
        <v>1</v>
      </c>
      <c r="AD178" s="36">
        <v>1</v>
      </c>
      <c r="AE178" s="30">
        <v>1</v>
      </c>
      <c r="AF178" s="56"/>
      <c r="AG178" s="56">
        <v>1</v>
      </c>
      <c r="AH178" s="56">
        <v>1</v>
      </c>
      <c r="AI178" t="str">
        <f t="shared" si="4"/>
        <v xml:space="preserve">1996, 1997, 1998, 1999, 2000, 2001, 2002, 2003, 2004, 2005, 2006, 2007, 2008, 2009, 2010, 2011, 2012, 2013, 2014, 2015, 2016, 2017, 2018, 2019, 2020, 2021, 2022, 2024, 2025, </v>
      </c>
      <c r="AJ178" s="41" t="s">
        <v>456</v>
      </c>
      <c r="AK178" s="41" t="s">
        <v>457</v>
      </c>
      <c r="AL178"/>
      <c r="AM178"/>
      <c r="CC178" s="29"/>
    </row>
    <row r="179" spans="2:81" x14ac:dyDescent="0.2">
      <c r="B179" s="5">
        <v>176</v>
      </c>
      <c r="C179" s="30" t="s">
        <v>205</v>
      </c>
      <c r="D179" s="30" t="s">
        <v>458</v>
      </c>
      <c r="E179" s="36">
        <v>1</v>
      </c>
      <c r="F179" s="36">
        <v>1</v>
      </c>
      <c r="G179" s="36">
        <v>1</v>
      </c>
      <c r="H179" s="36">
        <v>1</v>
      </c>
      <c r="I179" s="36">
        <v>1</v>
      </c>
      <c r="J179" s="36">
        <v>1</v>
      </c>
      <c r="K179" s="36">
        <v>1</v>
      </c>
      <c r="L179" s="36">
        <v>1</v>
      </c>
      <c r="M179" s="36">
        <v>1</v>
      </c>
      <c r="N179" s="36">
        <v>1</v>
      </c>
      <c r="O179" s="36">
        <v>1</v>
      </c>
      <c r="P179" s="36">
        <v>1</v>
      </c>
      <c r="Q179" s="38">
        <v>1</v>
      </c>
      <c r="R179" s="38">
        <v>1</v>
      </c>
      <c r="S179" s="38">
        <v>1</v>
      </c>
      <c r="T179" s="38">
        <v>1</v>
      </c>
      <c r="U179" s="38">
        <v>1</v>
      </c>
      <c r="V179" s="38">
        <v>1</v>
      </c>
      <c r="W179" s="38">
        <v>1</v>
      </c>
      <c r="X179" s="38">
        <v>1</v>
      </c>
      <c r="Y179" s="38">
        <v>1</v>
      </c>
      <c r="Z179" s="38">
        <v>1</v>
      </c>
      <c r="AA179" s="38">
        <v>1</v>
      </c>
      <c r="AB179" s="38">
        <v>1</v>
      </c>
      <c r="AC179" s="30">
        <v>1</v>
      </c>
      <c r="AD179" s="36">
        <v>1</v>
      </c>
      <c r="AE179" s="30">
        <v>1</v>
      </c>
      <c r="AF179" s="39"/>
      <c r="AG179" s="39">
        <v>1</v>
      </c>
      <c r="AH179" s="39">
        <v>1</v>
      </c>
      <c r="AI179" t="str">
        <f t="shared" si="4"/>
        <v xml:space="preserve">1996, 1997, 1998, 1999, 2000, 2001, 2002, 2003, 2004, 2005, 2006, 2007, 2008, 2009, 2010, 2011, 2012, 2013, 2014, 2015, 2016, 2017, 2018, 2019, 2020, 2021, 2022, 2024, 2025, </v>
      </c>
      <c r="AJ179" s="41" t="s">
        <v>459</v>
      </c>
      <c r="AK179" s="41" t="s">
        <v>460</v>
      </c>
      <c r="AL179" t="s">
        <v>461</v>
      </c>
      <c r="AM179"/>
      <c r="CC179" s="29"/>
    </row>
    <row r="180" spans="2:81" x14ac:dyDescent="0.2">
      <c r="B180" s="5">
        <v>177</v>
      </c>
      <c r="C180" s="30" t="s">
        <v>206</v>
      </c>
      <c r="D180" s="30" t="s">
        <v>462</v>
      </c>
      <c r="E180" s="36">
        <v>1</v>
      </c>
      <c r="F180" s="36">
        <v>1</v>
      </c>
      <c r="G180" s="36">
        <v>1</v>
      </c>
      <c r="H180" s="36">
        <v>1</v>
      </c>
      <c r="I180" s="36">
        <v>1</v>
      </c>
      <c r="J180" s="36">
        <v>1</v>
      </c>
      <c r="K180" s="36">
        <v>1</v>
      </c>
      <c r="L180" s="36">
        <v>1</v>
      </c>
      <c r="M180" s="36">
        <v>1</v>
      </c>
      <c r="N180" s="36">
        <v>1</v>
      </c>
      <c r="O180" s="36">
        <v>1</v>
      </c>
      <c r="P180" s="36">
        <v>1</v>
      </c>
      <c r="Q180" s="36">
        <v>1</v>
      </c>
      <c r="R180" s="36">
        <v>1</v>
      </c>
      <c r="S180" s="36">
        <v>1</v>
      </c>
      <c r="T180" s="36">
        <v>1</v>
      </c>
      <c r="U180" s="36">
        <v>1</v>
      </c>
      <c r="V180" s="36">
        <v>1</v>
      </c>
      <c r="W180" s="36">
        <v>1</v>
      </c>
      <c r="X180" s="36">
        <v>1</v>
      </c>
      <c r="Y180" s="36">
        <v>1</v>
      </c>
      <c r="Z180" s="36">
        <v>1</v>
      </c>
      <c r="AA180" s="36">
        <v>1</v>
      </c>
      <c r="AB180" s="36">
        <v>1</v>
      </c>
      <c r="AC180" s="30">
        <v>1</v>
      </c>
      <c r="AD180" s="36">
        <v>1</v>
      </c>
      <c r="AE180" s="30">
        <v>1</v>
      </c>
      <c r="AF180" s="39">
        <v>1</v>
      </c>
      <c r="AG180" s="39">
        <v>1</v>
      </c>
      <c r="AH180" s="39">
        <v>1</v>
      </c>
      <c r="AI180" t="str">
        <f t="shared" si="4"/>
        <v xml:space="preserve">1996, 1997, 1998, 1999, 2000, 2001, 2002, 2003, 2004, 2005, 2006, 2007, 2008, 2009, 2010, 2011, 2012, 2013, 2014, 2015, 2016, 2017, 2018, 2019, 2020, 2021, 2022, 2023, 2024, 2025, </v>
      </c>
      <c r="AJ180" s="39"/>
      <c r="AK180" s="41" t="s">
        <v>463</v>
      </c>
      <c r="AL180" t="s">
        <v>464</v>
      </c>
      <c r="AM180" s="40" t="s">
        <v>465</v>
      </c>
      <c r="CC180" s="29"/>
    </row>
    <row r="181" spans="2:81" x14ac:dyDescent="0.2">
      <c r="B181" s="5">
        <v>178</v>
      </c>
      <c r="C181" s="30" t="s">
        <v>207</v>
      </c>
      <c r="D181" s="30" t="s">
        <v>466</v>
      </c>
      <c r="E181" s="36">
        <v>1</v>
      </c>
      <c r="F181" s="36">
        <v>1</v>
      </c>
      <c r="G181" s="36">
        <v>1</v>
      </c>
      <c r="H181" s="36">
        <v>1</v>
      </c>
      <c r="I181" s="36">
        <v>1</v>
      </c>
      <c r="J181" s="36">
        <v>1</v>
      </c>
      <c r="K181" s="36">
        <v>1</v>
      </c>
      <c r="L181" s="36">
        <v>1</v>
      </c>
      <c r="M181" s="36">
        <v>1</v>
      </c>
      <c r="N181" s="36">
        <v>1</v>
      </c>
      <c r="O181" s="36">
        <v>1</v>
      </c>
      <c r="P181" s="36">
        <v>1</v>
      </c>
      <c r="Q181" s="36">
        <v>1</v>
      </c>
      <c r="R181" s="36">
        <v>1</v>
      </c>
      <c r="S181" s="36">
        <v>1</v>
      </c>
      <c r="T181" s="36">
        <v>1</v>
      </c>
      <c r="U181" s="36">
        <v>1</v>
      </c>
      <c r="V181" s="36">
        <v>1</v>
      </c>
      <c r="W181" s="36">
        <v>1</v>
      </c>
      <c r="X181" s="38">
        <v>1</v>
      </c>
      <c r="Y181" s="38">
        <v>1</v>
      </c>
      <c r="Z181" s="38">
        <v>1</v>
      </c>
      <c r="AA181" s="38">
        <v>1</v>
      </c>
      <c r="AB181" s="38">
        <v>1</v>
      </c>
      <c r="AC181" s="30">
        <v>1</v>
      </c>
      <c r="AD181" s="36">
        <v>1</v>
      </c>
      <c r="AE181" s="30">
        <v>1</v>
      </c>
      <c r="AF181" s="39">
        <v>1</v>
      </c>
      <c r="AG181" s="39">
        <v>1</v>
      </c>
      <c r="AH181" s="39">
        <v>1</v>
      </c>
      <c r="AI181" t="str">
        <f t="shared" si="4"/>
        <v xml:space="preserve">1996, 1997, 1998, 1999, 2000, 2001, 2002, 2003, 2004, 2005, 2006, 2007, 2008, 2009, 2010, 2011, 2012, 2013, 2014, 2015, 2016, 2017, 2018, 2019, 2020, 2021, 2022, 2023, 2024, 2025, </v>
      </c>
      <c r="AJ181" s="39" t="s">
        <v>467</v>
      </c>
      <c r="AK181" s="41" t="s">
        <v>468</v>
      </c>
      <c r="AL181" t="s">
        <v>469</v>
      </c>
      <c r="AM181" t="s">
        <v>470</v>
      </c>
      <c r="CC181" s="29"/>
    </row>
    <row r="182" spans="2:81" x14ac:dyDescent="0.2">
      <c r="B182" s="5">
        <v>179</v>
      </c>
      <c r="C182" s="30" t="s">
        <v>208</v>
      </c>
      <c r="D182" s="30" t="s">
        <v>471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4">
        <v>1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4">
        <v>1</v>
      </c>
      <c r="X182" s="34">
        <v>1</v>
      </c>
      <c r="Y182" s="34">
        <v>1</v>
      </c>
      <c r="Z182" s="30">
        <v>0</v>
      </c>
      <c r="AA182" s="30">
        <v>0</v>
      </c>
      <c r="AB182" s="30">
        <v>0</v>
      </c>
      <c r="AC182" s="30">
        <v>0</v>
      </c>
      <c r="AD182" s="39"/>
      <c r="AE182" s="39"/>
      <c r="AF182" s="39"/>
      <c r="AG182" s="39"/>
      <c r="AH182" s="39"/>
      <c r="AI182" t="str">
        <f t="shared" si="4"/>
        <v xml:space="preserve">2008, 2014, 2015, 2016, </v>
      </c>
      <c r="AJ182" s="39"/>
      <c r="AK182" s="41" t="s">
        <v>472</v>
      </c>
      <c r="AL182"/>
      <c r="AM182"/>
      <c r="CC182" s="29"/>
    </row>
    <row r="183" spans="2:81" x14ac:dyDescent="0.2">
      <c r="B183" s="5">
        <v>180</v>
      </c>
      <c r="C183" s="30" t="s">
        <v>209</v>
      </c>
      <c r="D183" s="30" t="s">
        <v>473</v>
      </c>
      <c r="E183" s="36">
        <v>1</v>
      </c>
      <c r="F183" s="36">
        <v>1</v>
      </c>
      <c r="G183" s="36">
        <v>1</v>
      </c>
      <c r="H183" s="36">
        <v>1</v>
      </c>
      <c r="I183" s="36">
        <v>1</v>
      </c>
      <c r="J183" s="36">
        <v>1</v>
      </c>
      <c r="K183" s="36">
        <v>1</v>
      </c>
      <c r="L183" s="36">
        <v>1</v>
      </c>
      <c r="M183" s="36">
        <v>1</v>
      </c>
      <c r="N183" s="36">
        <v>1</v>
      </c>
      <c r="O183" s="36">
        <v>1</v>
      </c>
      <c r="P183" s="36">
        <v>1</v>
      </c>
      <c r="Q183" s="36">
        <v>1</v>
      </c>
      <c r="R183" s="36">
        <v>1</v>
      </c>
      <c r="S183" s="36">
        <v>1</v>
      </c>
      <c r="T183" s="36">
        <v>1</v>
      </c>
      <c r="U183" s="36">
        <v>1</v>
      </c>
      <c r="V183" s="36">
        <v>1</v>
      </c>
      <c r="W183" s="36">
        <v>1</v>
      </c>
      <c r="X183" s="36">
        <v>1</v>
      </c>
      <c r="Y183" s="36">
        <v>1</v>
      </c>
      <c r="Z183" s="36">
        <v>1</v>
      </c>
      <c r="AA183" s="36">
        <v>1</v>
      </c>
      <c r="AB183" s="36">
        <v>1</v>
      </c>
      <c r="AC183" s="30">
        <v>1</v>
      </c>
      <c r="AD183" s="36">
        <v>1</v>
      </c>
      <c r="AE183" s="30">
        <v>1</v>
      </c>
      <c r="AF183" s="39"/>
      <c r="AG183" s="39">
        <v>1</v>
      </c>
      <c r="AH183" s="39">
        <v>1</v>
      </c>
      <c r="AI183" t="str">
        <f t="shared" si="4"/>
        <v xml:space="preserve">1996, 1997, 1998, 1999, 2000, 2001, 2002, 2003, 2004, 2005, 2006, 2007, 2008, 2009, 2010, 2011, 2012, 2013, 2014, 2015, 2016, 2017, 2018, 2019, 2020, 2021, 2022, 2024, 2025, </v>
      </c>
      <c r="AJ183" s="39"/>
      <c r="AK183" s="41" t="s">
        <v>474</v>
      </c>
      <c r="AL183" s="41" t="s">
        <v>475</v>
      </c>
      <c r="AM183" t="s">
        <v>425</v>
      </c>
      <c r="CC183" s="29"/>
    </row>
    <row r="184" spans="2:81" x14ac:dyDescent="0.2">
      <c r="B184" s="5">
        <v>181</v>
      </c>
      <c r="C184" s="30" t="s">
        <v>210</v>
      </c>
      <c r="D184" s="30" t="s">
        <v>476</v>
      </c>
      <c r="E184" s="30">
        <v>0</v>
      </c>
      <c r="F184" s="30">
        <v>0</v>
      </c>
      <c r="G184" s="36">
        <v>1</v>
      </c>
      <c r="H184" s="36">
        <v>1</v>
      </c>
      <c r="I184" s="36">
        <v>1</v>
      </c>
      <c r="J184" s="36">
        <v>1</v>
      </c>
      <c r="K184" s="36">
        <v>1</v>
      </c>
      <c r="L184" s="36">
        <v>1</v>
      </c>
      <c r="M184" s="36">
        <v>1</v>
      </c>
      <c r="N184" s="36">
        <v>1</v>
      </c>
      <c r="O184" s="36">
        <v>1</v>
      </c>
      <c r="P184" s="36">
        <v>1</v>
      </c>
      <c r="Q184" s="36">
        <v>1</v>
      </c>
      <c r="R184" s="36">
        <v>1</v>
      </c>
      <c r="S184" s="36">
        <v>1</v>
      </c>
      <c r="T184" s="36">
        <v>1</v>
      </c>
      <c r="U184" s="36">
        <v>1</v>
      </c>
      <c r="V184" s="36">
        <v>1</v>
      </c>
      <c r="W184" s="36">
        <v>1</v>
      </c>
      <c r="X184" s="36">
        <v>1</v>
      </c>
      <c r="Y184" s="36">
        <v>1</v>
      </c>
      <c r="Z184" s="36">
        <v>1</v>
      </c>
      <c r="AA184" s="36">
        <v>1</v>
      </c>
      <c r="AB184" s="36">
        <v>1</v>
      </c>
      <c r="AC184" s="30">
        <v>1</v>
      </c>
      <c r="AD184" s="36">
        <v>1</v>
      </c>
      <c r="AE184" s="30">
        <v>1</v>
      </c>
      <c r="AF184" s="39"/>
      <c r="AG184" s="39">
        <v>1</v>
      </c>
      <c r="AH184" s="39">
        <v>1</v>
      </c>
      <c r="AI184" t="str">
        <f t="shared" si="4"/>
        <v xml:space="preserve">1998, 1999, 2000, 2001, 2002, 2003, 2004, 2005, 2006, 2007, 2008, 2009, 2010, 2011, 2012, 2013, 2014, 2015, 2016, 2017, 2018, 2019, 2020, 2021, 2022, 2024, 2025, </v>
      </c>
      <c r="AJ184" s="39"/>
      <c r="AK184" s="41" t="s">
        <v>477</v>
      </c>
      <c r="AL184" s="40" t="s">
        <v>478</v>
      </c>
      <c r="AM184" t="s">
        <v>479</v>
      </c>
      <c r="AN184" s="29" t="s">
        <v>425</v>
      </c>
      <c r="CC184" s="29"/>
    </row>
    <row r="185" spans="2:81" x14ac:dyDescent="0.2">
      <c r="B185" s="5">
        <v>182</v>
      </c>
      <c r="C185" s="30" t="s">
        <v>211</v>
      </c>
      <c r="D185" s="30" t="s">
        <v>480</v>
      </c>
      <c r="E185" s="36">
        <v>1</v>
      </c>
      <c r="F185" s="36">
        <v>1</v>
      </c>
      <c r="G185" s="36">
        <v>1</v>
      </c>
      <c r="H185" s="36">
        <v>1</v>
      </c>
      <c r="I185" s="36">
        <v>1</v>
      </c>
      <c r="J185" s="36">
        <v>1</v>
      </c>
      <c r="K185" s="36">
        <v>1</v>
      </c>
      <c r="L185" s="36">
        <v>1</v>
      </c>
      <c r="M185" s="36">
        <v>1</v>
      </c>
      <c r="N185" s="36">
        <v>1</v>
      </c>
      <c r="O185" s="36">
        <v>1</v>
      </c>
      <c r="P185" s="36">
        <v>1</v>
      </c>
      <c r="Q185" s="36">
        <v>1</v>
      </c>
      <c r="R185" s="38">
        <v>1</v>
      </c>
      <c r="S185" s="36">
        <v>1</v>
      </c>
      <c r="T185" s="38">
        <v>1</v>
      </c>
      <c r="U185" s="36">
        <v>1</v>
      </c>
      <c r="V185" s="36">
        <v>1</v>
      </c>
      <c r="W185" s="36">
        <v>1</v>
      </c>
      <c r="X185" s="36">
        <v>1</v>
      </c>
      <c r="Y185" s="36">
        <v>1</v>
      </c>
      <c r="Z185" s="36">
        <v>1</v>
      </c>
      <c r="AA185" s="36">
        <v>1</v>
      </c>
      <c r="AB185" s="36">
        <v>1</v>
      </c>
      <c r="AC185" s="30">
        <v>1</v>
      </c>
      <c r="AD185" s="36">
        <v>1</v>
      </c>
      <c r="AE185" s="30">
        <v>1</v>
      </c>
      <c r="AF185" s="39"/>
      <c r="AG185" s="39">
        <v>1</v>
      </c>
      <c r="AH185" s="39">
        <v>1</v>
      </c>
      <c r="AI185" t="str">
        <f t="shared" si="4"/>
        <v xml:space="preserve">1996, 1997, 1998, 1999, 2000, 2001, 2002, 2003, 2004, 2005, 2006, 2007, 2008, 2009, 2010, 2011, 2012, 2013, 2014, 2015, 2016, 2017, 2018, 2019, 2020, 2021, 2022, 2024, 2025, </v>
      </c>
      <c r="AJ185" s="39" t="s">
        <v>481</v>
      </c>
      <c r="AK185" s="41" t="s">
        <v>482</v>
      </c>
      <c r="AL185" s="40" t="s">
        <v>483</v>
      </c>
      <c r="AM185" s="40" t="s">
        <v>425</v>
      </c>
      <c r="CC185" s="29"/>
    </row>
    <row r="186" spans="2:81" x14ac:dyDescent="0.2">
      <c r="B186" s="5">
        <v>183</v>
      </c>
      <c r="C186" s="30" t="s">
        <v>212</v>
      </c>
      <c r="D186" s="30" t="s">
        <v>484</v>
      </c>
      <c r="E186" s="36">
        <v>1</v>
      </c>
      <c r="F186" s="36">
        <v>1</v>
      </c>
      <c r="G186" s="36">
        <v>1</v>
      </c>
      <c r="H186" s="36">
        <v>1</v>
      </c>
      <c r="I186" s="36">
        <v>1</v>
      </c>
      <c r="J186" s="36">
        <v>1</v>
      </c>
      <c r="K186" s="36">
        <v>1</v>
      </c>
      <c r="L186" s="36">
        <v>1</v>
      </c>
      <c r="M186" s="36">
        <v>1</v>
      </c>
      <c r="N186" s="36">
        <v>1</v>
      </c>
      <c r="O186" s="36">
        <v>1</v>
      </c>
      <c r="P186" s="36">
        <v>1</v>
      </c>
      <c r="Q186" s="36">
        <v>1</v>
      </c>
      <c r="R186" s="36">
        <v>1</v>
      </c>
      <c r="S186" s="36">
        <v>1</v>
      </c>
      <c r="T186" s="36">
        <v>1</v>
      </c>
      <c r="U186" s="36">
        <v>1</v>
      </c>
      <c r="V186" s="36">
        <v>1</v>
      </c>
      <c r="W186" s="36">
        <v>1</v>
      </c>
      <c r="X186" s="36">
        <v>1</v>
      </c>
      <c r="Y186" s="36">
        <v>1</v>
      </c>
      <c r="Z186" s="36">
        <v>1</v>
      </c>
      <c r="AA186" s="36">
        <v>1</v>
      </c>
      <c r="AB186" s="36">
        <v>1</v>
      </c>
      <c r="AC186" s="36">
        <v>1</v>
      </c>
      <c r="AD186" s="36">
        <v>1</v>
      </c>
      <c r="AE186" s="30">
        <v>1</v>
      </c>
      <c r="AF186" s="56"/>
      <c r="AG186" s="56">
        <v>1</v>
      </c>
      <c r="AH186" s="56">
        <v>1</v>
      </c>
      <c r="AI186" t="str">
        <f t="shared" si="4"/>
        <v xml:space="preserve">1996, 1997, 1998, 1999, 2000, 2001, 2002, 2003, 2004, 2005, 2006, 2007, 2008, 2009, 2010, 2011, 2012, 2013, 2014, 2015, 2016, 2017, 2018, 2019, 2020, 2021, 2022, 2024, 2025, </v>
      </c>
      <c r="AJ186" s="39"/>
      <c r="AK186" s="41" t="s">
        <v>485</v>
      </c>
      <c r="AL186" t="s">
        <v>486</v>
      </c>
      <c r="AM186"/>
      <c r="CC186" s="29"/>
    </row>
    <row r="187" spans="2:81" x14ac:dyDescent="0.2">
      <c r="B187" s="5">
        <v>184</v>
      </c>
      <c r="C187" s="30" t="s">
        <v>213</v>
      </c>
      <c r="D187" s="30" t="s">
        <v>487</v>
      </c>
      <c r="E187" s="50">
        <v>1</v>
      </c>
      <c r="F187" s="50">
        <v>1</v>
      </c>
      <c r="G187" s="50">
        <v>1</v>
      </c>
      <c r="H187" s="50">
        <v>1</v>
      </c>
      <c r="I187" s="50">
        <v>1</v>
      </c>
      <c r="J187" s="50">
        <v>1</v>
      </c>
      <c r="K187" s="50">
        <v>1</v>
      </c>
      <c r="L187" s="50">
        <v>1</v>
      </c>
      <c r="M187" s="50">
        <v>1</v>
      </c>
      <c r="N187" s="50">
        <v>1</v>
      </c>
      <c r="O187" s="50">
        <v>1</v>
      </c>
      <c r="P187" s="50">
        <v>1</v>
      </c>
      <c r="Q187" s="50">
        <v>1</v>
      </c>
      <c r="R187" s="50">
        <v>1</v>
      </c>
      <c r="S187" s="50">
        <v>1</v>
      </c>
      <c r="T187" s="50">
        <v>1</v>
      </c>
      <c r="U187" s="50">
        <v>1</v>
      </c>
      <c r="V187" s="50">
        <v>1</v>
      </c>
      <c r="W187" s="50">
        <v>1</v>
      </c>
      <c r="X187" s="50">
        <v>1</v>
      </c>
      <c r="Y187" s="50">
        <v>1</v>
      </c>
      <c r="Z187" s="50">
        <v>1</v>
      </c>
      <c r="AA187" s="50">
        <v>1</v>
      </c>
      <c r="AB187" s="50">
        <v>1</v>
      </c>
      <c r="AC187" s="30">
        <v>1</v>
      </c>
      <c r="AD187" s="36">
        <v>1</v>
      </c>
      <c r="AE187" s="30">
        <v>1</v>
      </c>
      <c r="AF187" s="39"/>
      <c r="AG187" s="39">
        <v>1</v>
      </c>
      <c r="AH187" s="39">
        <v>1</v>
      </c>
      <c r="AI187" t="str">
        <f t="shared" si="4"/>
        <v xml:space="preserve">1996, 1997, 1998, 1999, 2000, 2001, 2002, 2003, 2004, 2005, 2006, 2007, 2008, 2009, 2010, 2011, 2012, 2013, 2014, 2015, 2016, 2017, 2018, 2019, 2020, 2021, 2022, 2024, 2025, </v>
      </c>
      <c r="AJ187" s="41" t="s">
        <v>488</v>
      </c>
      <c r="AK187" s="41" t="s">
        <v>489</v>
      </c>
      <c r="AL187"/>
      <c r="AM187"/>
      <c r="CC187" s="29"/>
    </row>
    <row r="188" spans="2:81" x14ac:dyDescent="0.2">
      <c r="B188" s="5">
        <v>185</v>
      </c>
      <c r="C188" s="30" t="s">
        <v>214</v>
      </c>
      <c r="D188" s="30" t="s">
        <v>490</v>
      </c>
      <c r="E188" s="50">
        <v>1</v>
      </c>
      <c r="F188" s="50">
        <v>1</v>
      </c>
      <c r="G188" s="38">
        <v>1</v>
      </c>
      <c r="H188" s="38">
        <v>1</v>
      </c>
      <c r="I188" s="38">
        <v>1</v>
      </c>
      <c r="J188" s="38">
        <v>1</v>
      </c>
      <c r="K188" s="38">
        <v>1</v>
      </c>
      <c r="L188" s="38">
        <v>1</v>
      </c>
      <c r="M188" s="38">
        <v>1</v>
      </c>
      <c r="N188" s="38">
        <v>1</v>
      </c>
      <c r="O188" s="38">
        <v>1</v>
      </c>
      <c r="P188" s="38">
        <v>1</v>
      </c>
      <c r="Q188" s="38">
        <v>1</v>
      </c>
      <c r="R188" s="38">
        <v>1</v>
      </c>
      <c r="S188" s="38">
        <v>1</v>
      </c>
      <c r="T188" s="38">
        <v>1</v>
      </c>
      <c r="U188" s="38">
        <v>1</v>
      </c>
      <c r="V188" s="38">
        <v>1</v>
      </c>
      <c r="W188" s="38">
        <v>1</v>
      </c>
      <c r="X188" s="38">
        <v>1</v>
      </c>
      <c r="Y188" s="38">
        <v>1</v>
      </c>
      <c r="Z188" s="38">
        <v>1</v>
      </c>
      <c r="AA188" s="38">
        <v>1</v>
      </c>
      <c r="AB188" s="38">
        <v>1</v>
      </c>
      <c r="AC188" s="30">
        <v>1</v>
      </c>
      <c r="AD188" s="36">
        <v>1</v>
      </c>
      <c r="AE188" s="30">
        <v>1</v>
      </c>
      <c r="AF188" s="39"/>
      <c r="AG188" s="39">
        <v>1</v>
      </c>
      <c r="AH188" s="39">
        <v>1</v>
      </c>
      <c r="AI188" t="str">
        <f t="shared" si="4"/>
        <v xml:space="preserve">1996, 1997, 1998, 1999, 2000, 2001, 2002, 2003, 2004, 2005, 2006, 2007, 2008, 2009, 2010, 2011, 2012, 2013, 2014, 2015, 2016, 2017, 2018, 2019, 2020, 2021, 2022, 2024, 2025, </v>
      </c>
      <c r="AJ188" s="39" t="s">
        <v>491</v>
      </c>
      <c r="AK188" s="41" t="s">
        <v>492</v>
      </c>
      <c r="AL188" t="s">
        <v>425</v>
      </c>
      <c r="AM188"/>
      <c r="CC188" s="29"/>
    </row>
    <row r="189" spans="2:81" x14ac:dyDescent="0.2">
      <c r="B189" s="5">
        <v>186</v>
      </c>
      <c r="C189" s="30" t="s">
        <v>215</v>
      </c>
      <c r="D189" s="30" t="s">
        <v>493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6">
        <v>1</v>
      </c>
      <c r="P189" s="36">
        <v>1</v>
      </c>
      <c r="Q189" s="36">
        <v>1</v>
      </c>
      <c r="R189" s="36">
        <v>1</v>
      </c>
      <c r="S189" s="36">
        <v>1</v>
      </c>
      <c r="T189" s="36">
        <v>1</v>
      </c>
      <c r="U189" s="36">
        <v>1</v>
      </c>
      <c r="V189" s="36">
        <v>1</v>
      </c>
      <c r="W189" s="36">
        <v>1</v>
      </c>
      <c r="X189" s="36">
        <v>1</v>
      </c>
      <c r="Y189" s="36">
        <v>1</v>
      </c>
      <c r="Z189" s="36">
        <v>1</v>
      </c>
      <c r="AA189" s="36">
        <v>1</v>
      </c>
      <c r="AB189" s="36">
        <v>1</v>
      </c>
      <c r="AC189" s="36">
        <v>1</v>
      </c>
      <c r="AD189" s="56"/>
      <c r="AE189" s="56"/>
      <c r="AF189" s="56"/>
      <c r="AG189" s="56">
        <v>1</v>
      </c>
      <c r="AH189" s="56"/>
      <c r="AI189" t="str">
        <f t="shared" si="4"/>
        <v xml:space="preserve">2006, 2007, 2008, 2009, 2010, 2011, 2012, 2013, 2014, 2015, 2016, 2017, 2018, 2019, 2020, 2024, </v>
      </c>
      <c r="AJ189" s="39"/>
      <c r="AK189" s="41" t="s">
        <v>494</v>
      </c>
      <c r="AL189"/>
      <c r="AM189"/>
      <c r="CC189" s="29"/>
    </row>
    <row r="190" spans="2:81" x14ac:dyDescent="0.2">
      <c r="B190" s="5">
        <v>187</v>
      </c>
      <c r="C190" s="30" t="s">
        <v>216</v>
      </c>
      <c r="D190" s="30" t="s">
        <v>495</v>
      </c>
      <c r="E190" s="36">
        <v>1</v>
      </c>
      <c r="F190" s="36">
        <v>1</v>
      </c>
      <c r="G190" s="36">
        <v>1</v>
      </c>
      <c r="H190" s="36">
        <v>1</v>
      </c>
      <c r="I190" s="36">
        <v>1</v>
      </c>
      <c r="J190" s="36">
        <v>1</v>
      </c>
      <c r="K190" s="36">
        <v>1</v>
      </c>
      <c r="L190" s="36">
        <v>1</v>
      </c>
      <c r="M190" s="36">
        <v>1</v>
      </c>
      <c r="N190" s="36">
        <v>1</v>
      </c>
      <c r="O190" s="36">
        <v>1</v>
      </c>
      <c r="P190" s="36">
        <v>1</v>
      </c>
      <c r="Q190" s="36">
        <v>1</v>
      </c>
      <c r="R190" s="36">
        <v>1</v>
      </c>
      <c r="S190" s="36">
        <v>1</v>
      </c>
      <c r="T190" s="36">
        <v>1</v>
      </c>
      <c r="U190" s="36">
        <v>1</v>
      </c>
      <c r="V190" s="36">
        <v>1</v>
      </c>
      <c r="W190" s="36">
        <v>1</v>
      </c>
      <c r="X190" s="36">
        <v>1</v>
      </c>
      <c r="Y190" s="36">
        <v>1</v>
      </c>
      <c r="Z190" s="36">
        <v>1</v>
      </c>
      <c r="AA190" s="36">
        <v>1</v>
      </c>
      <c r="AB190" s="36">
        <v>1</v>
      </c>
      <c r="AC190" s="36">
        <v>1</v>
      </c>
      <c r="AD190" s="36">
        <v>1</v>
      </c>
      <c r="AE190" s="30">
        <v>1</v>
      </c>
      <c r="AF190" s="56">
        <v>1</v>
      </c>
      <c r="AG190" s="56">
        <v>1</v>
      </c>
      <c r="AH190" s="56">
        <v>1</v>
      </c>
      <c r="AI190" t="str">
        <f t="shared" si="4"/>
        <v xml:space="preserve">1996, 1997, 1998, 1999, 2000, 2001, 2002, 2003, 2004, 2005, 2006, 2007, 2008, 2009, 2010, 2011, 2012, 2013, 2014, 2015, 2016, 2017, 2018, 2019, 2020, 2021, 2022, 2023, 2024, 2025, </v>
      </c>
      <c r="AJ190" s="39"/>
      <c r="AK190" s="41" t="s">
        <v>496</v>
      </c>
      <c r="AL190" t="s">
        <v>497</v>
      </c>
      <c r="AM190" s="29" t="s">
        <v>496</v>
      </c>
      <c r="CC190" s="29"/>
    </row>
    <row r="191" spans="2:81" x14ac:dyDescent="0.2">
      <c r="B191" s="5">
        <v>188</v>
      </c>
      <c r="C191" s="30" t="s">
        <v>217</v>
      </c>
      <c r="D191" s="30" t="s">
        <v>498</v>
      </c>
      <c r="E191" s="36">
        <v>1</v>
      </c>
      <c r="F191" s="36">
        <v>1</v>
      </c>
      <c r="G191" s="36">
        <v>1</v>
      </c>
      <c r="H191" s="36">
        <v>1</v>
      </c>
      <c r="I191" s="36">
        <v>1</v>
      </c>
      <c r="J191" s="36">
        <v>1</v>
      </c>
      <c r="K191" s="36">
        <v>1</v>
      </c>
      <c r="L191" s="36">
        <v>1</v>
      </c>
      <c r="M191" s="36">
        <v>1</v>
      </c>
      <c r="N191" s="36">
        <v>1</v>
      </c>
      <c r="O191" s="36">
        <v>1</v>
      </c>
      <c r="P191" s="36">
        <v>1</v>
      </c>
      <c r="Q191" s="36">
        <v>1</v>
      </c>
      <c r="R191" s="36">
        <v>1</v>
      </c>
      <c r="S191" s="36">
        <v>1</v>
      </c>
      <c r="T191" s="36">
        <v>1</v>
      </c>
      <c r="U191" s="36">
        <v>1</v>
      </c>
      <c r="V191" s="36">
        <v>1</v>
      </c>
      <c r="W191" s="36">
        <v>1</v>
      </c>
      <c r="X191" s="36">
        <v>1</v>
      </c>
      <c r="Y191" s="36">
        <v>1</v>
      </c>
      <c r="Z191" s="36">
        <v>1</v>
      </c>
      <c r="AA191" s="36">
        <v>1</v>
      </c>
      <c r="AB191" s="36">
        <v>1</v>
      </c>
      <c r="AC191" s="30">
        <v>1</v>
      </c>
      <c r="AD191" s="36">
        <v>1</v>
      </c>
      <c r="AE191" s="30">
        <v>1</v>
      </c>
      <c r="AF191" s="39"/>
      <c r="AG191" s="39">
        <v>1</v>
      </c>
      <c r="AH191" s="39"/>
      <c r="AI191" t="str">
        <f t="shared" si="4"/>
        <v xml:space="preserve">1996, 1997, 1998, 1999, 2000, 2001, 2002, 2003, 2004, 2005, 2006, 2007, 2008, 2009, 2010, 2011, 2012, 2013, 2014, 2015, 2016, 2017, 2018, 2019, 2020, 2021, 2022, 2024, </v>
      </c>
      <c r="AJ191" s="39"/>
      <c r="AK191" s="41" t="s">
        <v>499</v>
      </c>
      <c r="AL191" t="s">
        <v>425</v>
      </c>
      <c r="AM191"/>
      <c r="CC191" s="29"/>
    </row>
    <row r="192" spans="2:81" x14ac:dyDescent="0.2">
      <c r="B192" s="5">
        <v>189</v>
      </c>
      <c r="C192" s="30" t="s">
        <v>218</v>
      </c>
      <c r="D192" s="30" t="s">
        <v>500</v>
      </c>
      <c r="E192" s="36">
        <v>1</v>
      </c>
      <c r="F192" s="36">
        <v>1</v>
      </c>
      <c r="G192" s="36">
        <v>1</v>
      </c>
      <c r="H192" s="36">
        <v>1</v>
      </c>
      <c r="I192" s="36">
        <v>1</v>
      </c>
      <c r="J192" s="36">
        <v>1</v>
      </c>
      <c r="K192" s="36">
        <v>1</v>
      </c>
      <c r="L192" s="36">
        <v>1</v>
      </c>
      <c r="M192" s="36">
        <v>1</v>
      </c>
      <c r="N192" s="36">
        <v>1</v>
      </c>
      <c r="O192" s="36">
        <v>1</v>
      </c>
      <c r="P192" s="36">
        <v>1</v>
      </c>
      <c r="Q192" s="36">
        <v>1</v>
      </c>
      <c r="R192" s="36">
        <v>1</v>
      </c>
      <c r="S192" s="36">
        <v>1</v>
      </c>
      <c r="T192" s="36">
        <v>1</v>
      </c>
      <c r="U192" s="36">
        <v>1</v>
      </c>
      <c r="V192" s="36">
        <v>1</v>
      </c>
      <c r="W192" s="36">
        <v>1</v>
      </c>
      <c r="X192" s="36">
        <v>1</v>
      </c>
      <c r="Y192" s="36">
        <v>1</v>
      </c>
      <c r="Z192" s="36">
        <v>1</v>
      </c>
      <c r="AA192" s="36">
        <v>1</v>
      </c>
      <c r="AB192" s="36">
        <v>1</v>
      </c>
      <c r="AC192" s="30">
        <v>1</v>
      </c>
      <c r="AD192" s="36">
        <v>1</v>
      </c>
      <c r="AE192" s="30">
        <v>1</v>
      </c>
      <c r="AF192" s="39"/>
      <c r="AG192" s="39">
        <v>1</v>
      </c>
      <c r="AH192" s="39">
        <v>1</v>
      </c>
      <c r="AI192" t="str">
        <f t="shared" si="4"/>
        <v xml:space="preserve">1996, 1997, 1998, 1999, 2000, 2001, 2002, 2003, 2004, 2005, 2006, 2007, 2008, 2009, 2010, 2011, 2012, 2013, 2014, 2015, 2016, 2017, 2018, 2019, 2020, 2021, 2022, 2024, 2025, </v>
      </c>
      <c r="AJ192" s="39"/>
      <c r="AK192" s="41" t="s">
        <v>501</v>
      </c>
      <c r="AL192"/>
      <c r="AM192"/>
      <c r="CC192" s="29"/>
    </row>
    <row r="193" spans="2:81" x14ac:dyDescent="0.2">
      <c r="B193" s="5">
        <v>190</v>
      </c>
      <c r="C193" s="30" t="s">
        <v>219</v>
      </c>
      <c r="D193" s="30" t="s">
        <v>502</v>
      </c>
      <c r="E193" s="38">
        <v>1</v>
      </c>
      <c r="F193" s="38">
        <v>1</v>
      </c>
      <c r="G193" s="38">
        <v>1</v>
      </c>
      <c r="H193" s="38">
        <v>1</v>
      </c>
      <c r="I193" s="38">
        <v>1</v>
      </c>
      <c r="J193" s="38">
        <v>1</v>
      </c>
      <c r="K193" s="38">
        <v>1</v>
      </c>
      <c r="L193" s="38">
        <v>1</v>
      </c>
      <c r="M193" s="38">
        <v>1</v>
      </c>
      <c r="N193" s="38">
        <v>1</v>
      </c>
      <c r="O193" s="38">
        <v>1</v>
      </c>
      <c r="P193" s="38">
        <v>1</v>
      </c>
      <c r="Q193" s="38">
        <v>1</v>
      </c>
      <c r="R193" s="38">
        <v>1</v>
      </c>
      <c r="S193" s="38">
        <v>1</v>
      </c>
      <c r="T193" s="38">
        <v>1</v>
      </c>
      <c r="U193" s="38">
        <v>1</v>
      </c>
      <c r="V193" s="38">
        <v>1</v>
      </c>
      <c r="W193" s="38">
        <v>1</v>
      </c>
      <c r="X193" s="38">
        <v>1</v>
      </c>
      <c r="Y193" s="38">
        <v>1</v>
      </c>
      <c r="Z193" s="38">
        <v>1</v>
      </c>
      <c r="AA193" s="38">
        <v>1</v>
      </c>
      <c r="AB193" s="38">
        <v>1</v>
      </c>
      <c r="AC193" s="30">
        <v>1</v>
      </c>
      <c r="AD193" s="39">
        <v>1</v>
      </c>
      <c r="AE193" s="39">
        <v>1</v>
      </c>
      <c r="AF193" s="39">
        <v>1</v>
      </c>
      <c r="AG193" s="39">
        <v>1</v>
      </c>
      <c r="AH193" s="39">
        <v>1</v>
      </c>
      <c r="AI193" t="str">
        <f t="shared" si="4"/>
        <v xml:space="preserve">1996, 1997, 1998, 1999, 2000, 2001, 2002, 2003, 2004, 2005, 2006, 2007, 2008, 2009, 2010, 2011, 2012, 2013, 2014, 2015, 2016, 2017, 2018, 2019, 2020, 2021, 2022, 2023, 2024, 2025, </v>
      </c>
      <c r="AJ193" s="39" t="s">
        <v>503</v>
      </c>
      <c r="AK193" s="41" t="s">
        <v>504</v>
      </c>
      <c r="AL193"/>
      <c r="AM193"/>
      <c r="CC193" s="29"/>
    </row>
  </sheetData>
  <hyperlinks>
    <hyperlink ref="AK149" r:id="rId1" display="https://www.iga.gov.bh/en/category/reports" xr:uid="{13FBE199-AF70-4FE6-B8A7-6B7D021EE558}"/>
    <hyperlink ref="AK152" r:id="rId2" xr:uid="{B0B6E57C-09A4-4659-82A6-7C5C121A772E}"/>
    <hyperlink ref="AK153" r:id="rId3" display="http://www.ksh.hu/data_access_safe_centre_access" xr:uid="{FA610065-907B-43A9-BDD4-497A2152D63F}"/>
    <hyperlink ref="AM163" r:id="rId4" xr:uid="{C0B8B1D7-F697-44E9-950D-0C5A3FBCF76C}"/>
    <hyperlink ref="AJ178" r:id="rId5" location="_r=&amp;collection=&amp;country=107&amp;dtype=&amp;from=1975&amp;page=1&amp;ps=100&amp;sid=&amp;sk=&amp;sort_by=nation&amp;sort_order=&amp;to=2019&amp;topic=&amp;view=s&amp;vk=" xr:uid="{6C3F1886-6624-4E04-A741-ED3366339968}"/>
    <hyperlink ref="AK183" r:id="rId6" xr:uid="{5C9BBBFC-7A8C-4EC5-A0CF-C973CFD44550}"/>
    <hyperlink ref="AL183" r:id="rId7" xr:uid="{B7E3C743-7B39-4D86-9472-8BD2AC324C56}"/>
    <hyperlink ref="AK157" r:id="rId8" xr:uid="{9094FBC3-21C3-4A32-A7EE-1C38ADE67FA0}"/>
    <hyperlink ref="AK158" r:id="rId9" location="!/view/en/VBD_SLOVSTAT/pr2018rs/v_pr2018rs_00_00_00_en" xr:uid="{3C3D633D-E51A-48F2-BE9B-B922A980143C}"/>
    <hyperlink ref="AK159" r:id="rId10" xr:uid="{4806463F-8D0B-4680-AADD-8AA89830D05E}"/>
    <hyperlink ref="AJ160" r:id="rId11" location="_r=&amp;collection=&amp;country=216&amp;dtype=&amp;from=1975&amp;page=1&amp;ps=100&amp;sid=&amp;sk=&amp;sort_by=nation&amp;sort_order=&amp;to=2019&amp;topic=&amp;view=s&amp;vk=" xr:uid="{4E6F976A-EA20-4694-844D-FA9EEC07C251}"/>
    <hyperlink ref="AK161" r:id="rId12" xr:uid="{BD4A16C7-AB46-4E49-9D5A-898FCC37723A}"/>
    <hyperlink ref="AK163" r:id="rId13" xr:uid="{16FD7C52-64A2-41E0-8D08-E0D0F7EF17C9}"/>
    <hyperlink ref="AL163" r:id="rId14" location="figures" xr:uid="{832B8C73-1423-4F9E-955F-82089634F0C4}"/>
    <hyperlink ref="AK166" r:id="rId15" xr:uid="{FA867C7F-7376-4FF1-B16C-3853F9D287BD}"/>
    <hyperlink ref="AK168" r:id="rId16" xr:uid="{E60B9A4B-9B31-40D1-9AD7-7089752E2D2C}"/>
    <hyperlink ref="AL169" r:id="rId17" xr:uid="{70414161-1662-4518-88C5-B5C611975404}"/>
    <hyperlink ref="AK169" r:id="rId18" xr:uid="{88DFB40E-8523-4594-918F-489CF9A4BD50}"/>
    <hyperlink ref="AM169" r:id="rId19" location="sprg229398" xr:uid="{ACADE52E-07CA-4E41-9DF5-D5BA5975C7AB}"/>
    <hyperlink ref="AK170" r:id="rId20" xr:uid="{455BD41A-A2A0-404A-9EB0-82890CFF9839}"/>
    <hyperlink ref="AK172" r:id="rId21" location="2-Metadata-update-1" xr:uid="{603BE5D2-639B-41E3-BB09-EC8539E605FB}"/>
    <hyperlink ref="AK171" r:id="rId22" location="!tabs-1254736030639" xr:uid="{EE5703CE-F539-4A9F-A731-42AE57EC2313}"/>
    <hyperlink ref="AJ171" r:id="rId23" location="_r=&amp;collection=&amp;country=201&amp;dtype=&amp;from=1975&amp;page=1&amp;ps=100&amp;sid=&amp;sk=&amp;sort_by=nation&amp;sort_order=&amp;to=2019&amp;topic=&amp;view=s&amp;vk=" xr:uid="{A7E232CE-F913-457B-8513-CCCE57CB55BA}"/>
    <hyperlink ref="AL172" r:id="rId24" xr:uid="{B8FBE934-920C-49E2-92DA-E6FEDA4F595C}"/>
    <hyperlink ref="AM172" r:id="rId25" location="Kuidas-olla-kindel-et-tegemist-on-statistikaameti-uuringuga-92" xr:uid="{CA7F8719-9551-4F08-9279-44A205DD0254}"/>
    <hyperlink ref="AK173" r:id="rId26" xr:uid="{ABB30C57-6C4B-4F67-9AF2-3A77AFDE76F2}"/>
    <hyperlink ref="AK174" r:id="rId27" xr:uid="{4698A037-71C9-4156-8076-6E4C1CB98B47}"/>
    <hyperlink ref="AK177" r:id="rId28" xr:uid="{BE470730-F027-49A3-92F8-ACC43A3CC2D5}"/>
    <hyperlink ref="AJ179" r:id="rId29" location="_r=&amp;collection=&amp;country=108&amp;dtype=&amp;from=1975&amp;page=1&amp;ps=100&amp;sid=&amp;sk=&amp;sort_by=nation&amp;sort_order=&amp;to=2019&amp;topic=&amp;view=s&amp;vk=" xr:uid="{116D5D4D-41BF-454A-BE56-79FDF145A5DC}"/>
    <hyperlink ref="AK179" r:id="rId30" xr:uid="{2D9CFA86-0DB8-4C3A-85BB-B0863CA1A221}"/>
    <hyperlink ref="AK180" r:id="rId31" xr:uid="{36E2E48E-EE21-4A4E-B8AD-5EA0A208C8A2}"/>
    <hyperlink ref="AM180" r:id="rId32" xr:uid="{A4BAC3E4-59C0-4D2E-B20C-1DA705DB55DE}"/>
    <hyperlink ref="AK181" r:id="rId33" xr:uid="{E07AFF58-FD64-4499-9976-14A768CF1542}"/>
    <hyperlink ref="AK182" r:id="rId34" xr:uid="{46E0BADF-B5E6-4353-BF8F-DAAE781DBB49}"/>
    <hyperlink ref="AK184" r:id="rId35" xr:uid="{A4F67C3E-1CEA-44E2-8054-18F11B177783}"/>
    <hyperlink ref="AL184" r:id="rId36" xr:uid="{88D04B51-A1D6-466B-BB87-BA5198D68139}"/>
    <hyperlink ref="AK185" r:id="rId37" location="id=ebb-enquete-beroepsbevolking-2012-2018-0" xr:uid="{C0A7B897-C10F-4E51-992A-1CAE76E144D9}"/>
    <hyperlink ref="AL185" r:id="rId38" location="/CBS/en/dataset/84166ENG/table?ts=1600877063870" xr:uid="{C433D010-72F3-42E2-8BFA-BAB88CB9F3DD}"/>
    <hyperlink ref="AK186" r:id="rId39" xr:uid="{2AC3B5B8-4134-4843-85C5-EF03006AFE0B}"/>
    <hyperlink ref="AK187" r:id="rId40" location="gsc.tab=0" xr:uid="{6D9F88B0-960C-4CAF-915B-1CAE580CB114}"/>
    <hyperlink ref="AJ187" r:id="rId41" location="gsc.tab=0" xr:uid="{27C75E78-CBAD-4028-A6BC-E29F54F5452A}"/>
    <hyperlink ref="AK188" r:id="rId42" xr:uid="{2EB196D5-6F10-404F-B811-05D7AD4A445E}"/>
    <hyperlink ref="AK189" r:id="rId43" xr:uid="{BB8F35DF-F426-4597-9B94-548270094113}"/>
    <hyperlink ref="AK190" r:id="rId44" xr:uid="{159E1C12-78A3-45EC-8B48-61053D5F2343}"/>
    <hyperlink ref="AK191" r:id="rId45" xr:uid="{ECCD1739-3A3D-410F-A91F-5D0E812D8091}"/>
    <hyperlink ref="AK192" r:id="rId46" xr:uid="{ED158EB8-92C9-4C93-B8F2-E3689967E9A7}"/>
    <hyperlink ref="AK193" r:id="rId47" xr:uid="{C92CAFD1-1AAF-48A2-97EF-58910B60467E}"/>
    <hyperlink ref="AK150" r:id="rId48" xr:uid="{1F9D97E9-D2CC-4D7B-B435-E20B391E7990}"/>
    <hyperlink ref="AK175" r:id="rId49" xr:uid="{40B74110-5E36-45EB-9903-3D14F2B0A320}"/>
    <hyperlink ref="AJ162" r:id="rId50" location="_r=&amp;collection=&amp;country=12&amp;dtype=&amp;from=1975&amp;page=1&amp;ps=&amp;sid=&amp;sk=&amp;sort_by=nation&amp;sort_order=&amp;to=2019&amp;topic=&amp;view=s&amp;vk=" xr:uid="{D7834758-4A75-44E7-84BB-E459592279A0}"/>
    <hyperlink ref="AL162" r:id="rId51" xr:uid="{11C14D20-36F1-4323-88DC-DC30E1D19381}"/>
    <hyperlink ref="AK162" r:id="rId52" xr:uid="{4570E65B-F76A-49E3-A4EC-01EA91D4F1F3}"/>
    <hyperlink ref="AK164" r:id="rId53" display="https://www.bahamas.gov.bs/wps/portal/public/key%20statistics/social%20statistics/labour%20force/!ut/p/b1/vZbZrqM4EIaf5TwAHWP2SwiE3QlrAjeIsENIIGwJTz_pVkuj0Uyf3IziurL1lz7X77LlTbg5bcJrPFdFPFa3a3z5OQ_pyBKA5RgcwbOiRAKeJnlGoGxCJunNcXPyA_gQB3URJTvqvFnR-aAabYKqDb0gUXEBpu0HnUhmtDZdM2YivMv1HMXy0U05eG8VTXkoT68LM7JEDn1u-RZisdwDCaP77Ib7Khdku7mFbnonztEtnapbEJ06vicitSOsQUhaSLFg3um1rGWsFjDbNVgzJMiFasAl4anBjl2Vz8s6eYZs54oxumNDvmxJKPFfX68ig1eR4A-DB995AHb47_xvBG88fJMP359B-EtCANnkeZI1ZQrQQPUOBn9gFLgnwW_BdyV-XyR8J8A3wUvA_FHgg427OQEycupnp67NatertZgAR2ZtvraA66iJPORd9mgUEDJs9bW2RyJCzjkALmOr5pgfUt_2BF4cH0qKvQPinwYSnwXKgPw0kP40kPowUAafBsJPA___a6Ftwurc_liS9gf4gVMkRQKaBoDlaAjgxteCJyfe1GUnhbkQxEwyRYN-lVaxYlSr6Tt4c7HuAB38nl2brE2ue2V56OwsbdlG04_eElMTMGXbN3LGFTQXSgUUAj9HW4vOhOJwnTlnsQ9adNqd76_0ISC0FsZ15dyFMe13aZQOAjWWaXbmQJQoZYu17c9nHym3NntjF_sfLW9rJiMDR_RVvMERahgXec3qoD3uSDSOi97iiBaB1p2JpA4Nqfvbri132oH4HZD5MHBPfhr4qwOvQYTOr0-DpNq5FiaJx82B6rSEpFDezrPKS3pvgrJdzxW0ZdTs_XwG6bm-lJ1whCMR4scCw_VtO0Y3sz_QNpMtVXRIhsc4p1WXtSwnUvJ-ts5WWh4HYXdErIxcte_v6wKvzXgK1hNVdhgc54gP1-4eWMUNE7N9SjW5GCkYvK-uOrLD0SFbQ61aOlGmkbSjy27CwpksqlRnl8V1Qr1Tq66kTMu5pVbjhYW9rVSuC55VVuvBZcLyXqUe8cM51VjIlmlk313NqSKkwltZW-rlqE1bc3wqkpEXRj9cuVaIJzjb06ITgGAIVdBN2AHTjzB2VM_L1zuDP91C5P_fQv94U0iWJCGLE4CDDEOx7MavA5oTB7OQVJRr1lgn7JpOcyLEWqxLcmkVHlqw08xce3XqpeF6ZMJLHouFaR8uPSVsz-N8xFYFCv3eypZnt-0aw220fVtbKbS6ztR2SDBRlxbqJZRcItqH22yMHcOYtfACbsnYl_TzFmHSPWP3jeFzjJREGLQ55KMdrWhFRz90H4i36cEK0RIOWRziU7CXzVLxq5N5qkVH7I6yobdYprsWzo98XOT8hUeWX8_jwrELftc2XTvrukHbUo7-HWSM_R3B118_rFt1/dl4/d5/L2dBISEvZ0FBIS9nQSEh/pw/Z7_QB0QSL93A8DE40A64A7B5R3GO1/ren/p=WCM_PI=1/p=urile=wcmQDKpathQDKQCPMOF_ContentQCPinternetQCPDepartmentQCAofQCAStatisticsQCPGovernmentQCPResourcesQCP/p=ns_Z7_QFBB0QFBSL93A8DE40A64A7B5R3GO1_WCM_PreviousPageSize.338701c1-6f1f-41d4-aff2-f0413ea5d543=10/p=ns_Z7_QFBB0QFBSL93A8DE40A64A7B5R3GO1_WCM_Page.338701c1-6f1f-41d4-aff2-f0413ea5d543=1/p=CTX=QCPmof_contentQCPinternetQCPDepartmentQCAofQCAStatisticsQCPGovernmentQCPKeyQCAStatisticsQCPSocialQCAStatisticsQCPLabourQCAForceQCPLabourQCAForce/-/" xr:uid="{44141790-482C-4933-9848-C4050D5F24A7}"/>
    <hyperlink ref="AJ165" r:id="rId54" location="_r=&amp;collection=&amp;country=30&amp;dtype=&amp;from=1975&amp;page=1&amp;ps=&amp;sid=&amp;sk=&amp;sort_by=rank&amp;sort_order=desc&amp;to=2019&amp;topic=&amp;view=s&amp;vk=" xr:uid="{D61D0EE8-4F24-4921-AA0B-834CC43778AA}"/>
    <hyperlink ref="AL165" r:id="rId55" xr:uid="{AC0E4B73-796A-43E9-B287-6D4E5C045CFB}"/>
    <hyperlink ref="AJ166" r:id="rId56" location="_r=&amp;collection=&amp;country=37&amp;dtype=&amp;from=1975&amp;page=1&amp;ps=100&amp;sid=&amp;sk=&amp;sort_by=nation&amp;sort_order=&amp;to=2019&amp;topic=&amp;view=s&amp;vk=" xr:uid="{201896A6-81B1-4D30-AD9F-0193B2864805}"/>
    <hyperlink ref="AJ167" r:id="rId57" location="_r=&amp;collection=&amp;country=208&amp;dtype=&amp;from=1975&amp;page=1&amp;ps=100&amp;sid=&amp;sk=&amp;sort_by=nation&amp;sort_order=&amp;to=2019&amp;topic=&amp;view=s&amp;vk=" xr:uid="{0B68E825-AEA0-4083-8326-F8048D6A54E4}"/>
    <hyperlink ref="AL170" r:id="rId58" xr:uid="{40B2E3EB-C2D5-4A7C-8474-5803DEE27A17}"/>
    <hyperlink ref="AJ172" r:id="rId59" location="_r=&amp;collection=&amp;country=68,201&amp;dtype=&amp;from=1975&amp;page=1&amp;ps=100&amp;sid=&amp;sk=&amp;sort_by=nation&amp;sort_order=&amp;to=2019&amp;topic=&amp;view=s&amp;vk=" xr:uid="{19ACBC64-03F0-4EA1-9071-344780C8CAE6}"/>
    <hyperlink ref="AM185" r:id="rId60" xr:uid="{84BC2DA4-CE48-4F5C-92B2-0815014C5DA4}"/>
  </hyperlinks>
  <pageMargins left="0.7" right="0.7" top="0.75" bottom="0.75" header="0.3" footer="0.3"/>
  <pageSetup orientation="portrait" r:id="rId61"/>
  <headerFooter>
    <oddFooter>&amp;R_x000D_&amp;1#&amp;"Aptos"&amp;10&amp;K000000 Official Use Only</oddFooter>
  </headerFooter>
  <legacyDrawing r:id="rId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BFF356-860D-46A7-9D5F-7C3887335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EEE91F-8CDF-4F2C-85D3-58EC881B694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b19ad29f-88fa-4d62-ac16-34b992563bf9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e02667f-0271-471b-bd6e-11a2e16def1d"/>
    <ds:schemaRef ds:uri="e781ea9d-1795-4792-8d8d-c86ae526af9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001F0D6-2591-4A68-815D-C98503A36C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DCS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2026-10-21T10:59:46Z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2026-10-21T08:50:05Z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c4f2fef3-5b1d-4744-8102-11df9647023e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50, 3, 0, 1</vt:lpwstr>
  </property>
</Properties>
</file>