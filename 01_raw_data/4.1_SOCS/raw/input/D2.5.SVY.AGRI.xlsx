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zprinsloo_worldbank_org/Documents/spi/technical-work/SPI-Zander/SPI/01_raw_data/4.1_SOCS/raw/input/"/>
    </mc:Choice>
  </mc:AlternateContent>
  <xr:revisionPtr revIDLastSave="616" documentId="13_ncr:1_{945FB191-4DDF-43D9-B6B3-47073DB1BA87}" xr6:coauthVersionLast="47" xr6:coauthVersionMax="47" xr10:uidLastSave="{6E4486B7-0963-5746-96E6-C7EF60FBF996}"/>
  <bookViews>
    <workbookView xWindow="0" yWindow="660" windowWidth="34560" windowHeight="21680" firstSheet="1" activeTab="1" xr2:uid="{B1D4A2B0-B996-4285-8899-E61063B05042}"/>
  </bookViews>
  <sheets>
    <sheet name="2020 DCS" sheetId="16" r:id="rId1"/>
    <sheet name="Data" sheetId="15" r:id="rId2"/>
  </sheets>
  <definedNames>
    <definedName name="_xlnm._FilterDatabase" localSheetId="1" hidden="1">Data!$A$3:$AH$148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" i="15" l="1"/>
  <c r="AH6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H24" i="15"/>
  <c r="AH25" i="15"/>
  <c r="AH26" i="15"/>
  <c r="AH27" i="15"/>
  <c r="AH28" i="15"/>
  <c r="AH29" i="15"/>
  <c r="AH30" i="15"/>
  <c r="AH31" i="15"/>
  <c r="AH32" i="15"/>
  <c r="AH33" i="15"/>
  <c r="AH34" i="15"/>
  <c r="AH35" i="15"/>
  <c r="AH36" i="15"/>
  <c r="AH37" i="15"/>
  <c r="AH38" i="15"/>
  <c r="AH39" i="15"/>
  <c r="AH40" i="15"/>
  <c r="AH41" i="15"/>
  <c r="AH42" i="15"/>
  <c r="AH43" i="15"/>
  <c r="AH44" i="15"/>
  <c r="AH45" i="15"/>
  <c r="AH46" i="15"/>
  <c r="AH47" i="15"/>
  <c r="AH48" i="15"/>
  <c r="AH49" i="15"/>
  <c r="AH50" i="15"/>
  <c r="AH51" i="15"/>
  <c r="AH52" i="15"/>
  <c r="AH53" i="15"/>
  <c r="AH54" i="15"/>
  <c r="AH55" i="15"/>
  <c r="AH56" i="15"/>
  <c r="AH57" i="15"/>
  <c r="AH58" i="15"/>
  <c r="AH59" i="15"/>
  <c r="AH60" i="15"/>
  <c r="AH61" i="15"/>
  <c r="AH62" i="15"/>
  <c r="AH63" i="15"/>
  <c r="AH64" i="15"/>
  <c r="AH65" i="15"/>
  <c r="AH66" i="15"/>
  <c r="AH67" i="15"/>
  <c r="AH68" i="15"/>
  <c r="AH69" i="15"/>
  <c r="AH70" i="15"/>
  <c r="AH71" i="15"/>
  <c r="AH72" i="15"/>
  <c r="AH73" i="15"/>
  <c r="AH74" i="15"/>
  <c r="AH75" i="15"/>
  <c r="AH76" i="15"/>
  <c r="AH77" i="15"/>
  <c r="AH78" i="15"/>
  <c r="AH79" i="15"/>
  <c r="AH80" i="15"/>
  <c r="AH81" i="15"/>
  <c r="AH82" i="15"/>
  <c r="AH83" i="15"/>
  <c r="AH84" i="15"/>
  <c r="AH85" i="15"/>
  <c r="AH86" i="15"/>
  <c r="AH87" i="15"/>
  <c r="AH88" i="15"/>
  <c r="AH89" i="15"/>
  <c r="AH90" i="15"/>
  <c r="AH91" i="15"/>
  <c r="AH92" i="15"/>
  <c r="AH93" i="15"/>
  <c r="AH94" i="15"/>
  <c r="AH95" i="15"/>
  <c r="AH96" i="15"/>
  <c r="AH97" i="15"/>
  <c r="AH98" i="15"/>
  <c r="AH99" i="15"/>
  <c r="AH100" i="15"/>
  <c r="AH101" i="15"/>
  <c r="AH102" i="15"/>
  <c r="AH103" i="15"/>
  <c r="AH104" i="15"/>
  <c r="AH105" i="15"/>
  <c r="AH106" i="15"/>
  <c r="AH107" i="15"/>
  <c r="AH108" i="15"/>
  <c r="AH109" i="15"/>
  <c r="AH110" i="15"/>
  <c r="AH111" i="15"/>
  <c r="AH112" i="15"/>
  <c r="AH113" i="15"/>
  <c r="AH114" i="15"/>
  <c r="AH115" i="15"/>
  <c r="AH116" i="15"/>
  <c r="AH117" i="15"/>
  <c r="AH118" i="15"/>
  <c r="AH119" i="15"/>
  <c r="AH120" i="15"/>
  <c r="AH121" i="15"/>
  <c r="AH122" i="15"/>
  <c r="AH123" i="15"/>
  <c r="AH124" i="15"/>
  <c r="AH125" i="15"/>
  <c r="AH126" i="15"/>
  <c r="AH127" i="15"/>
  <c r="AH128" i="15"/>
  <c r="AH129" i="15"/>
  <c r="AH130" i="15"/>
  <c r="AH131" i="15"/>
  <c r="AH132" i="15"/>
  <c r="AH133" i="15"/>
  <c r="AH134" i="15"/>
  <c r="AH135" i="15"/>
  <c r="AH136" i="15"/>
  <c r="AH137" i="15"/>
  <c r="AH138" i="15"/>
  <c r="AH139" i="15"/>
  <c r="AH140" i="15"/>
  <c r="AH141" i="15"/>
  <c r="AH142" i="15"/>
  <c r="AH143" i="15"/>
  <c r="AH144" i="15"/>
  <c r="AH145" i="15"/>
  <c r="AH146" i="15"/>
  <c r="AH147" i="15"/>
  <c r="AH148" i="15"/>
  <c r="AH149" i="15"/>
  <c r="AH150" i="15"/>
  <c r="AH151" i="15"/>
  <c r="AH152" i="15"/>
  <c r="AH153" i="15"/>
  <c r="AH154" i="15"/>
  <c r="AH155" i="15"/>
  <c r="AH156" i="15"/>
  <c r="AH157" i="15"/>
  <c r="AH158" i="15"/>
  <c r="AH159" i="15"/>
  <c r="AH160" i="15"/>
  <c r="AH161" i="15"/>
  <c r="AH162" i="15"/>
  <c r="AH163" i="15"/>
  <c r="AH164" i="15"/>
  <c r="AH165" i="15"/>
  <c r="AH166" i="15"/>
  <c r="AH167" i="15"/>
  <c r="AH168" i="15"/>
  <c r="AH169" i="15"/>
  <c r="AH170" i="15"/>
  <c r="AH171" i="15"/>
  <c r="AH172" i="15"/>
  <c r="AH173" i="15"/>
  <c r="AH174" i="15"/>
  <c r="AH175" i="15"/>
  <c r="AH176" i="15"/>
  <c r="AH177" i="15"/>
  <c r="AH178" i="15"/>
  <c r="AH179" i="15"/>
  <c r="AH180" i="15"/>
  <c r="AH181" i="15"/>
  <c r="AH182" i="15"/>
  <c r="AH183" i="15"/>
  <c r="AH184" i="15"/>
  <c r="AH185" i="15"/>
  <c r="AH186" i="15"/>
  <c r="AH187" i="15"/>
  <c r="AH188" i="15"/>
  <c r="AH189" i="15"/>
  <c r="AH190" i="15"/>
  <c r="AH191" i="15"/>
  <c r="AH192" i="15"/>
  <c r="AH193" i="15"/>
  <c r="AH4" i="15"/>
  <c r="C2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Dereje Ketema Wolde</author>
    <author>Aieshwarya Davis</author>
  </authors>
  <commentList>
    <comment ref="H9" authorId="0" shapeId="0" xr:uid="{50D7E418-0B9A-462F-9EF2-0E6F7474E25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https://www.indec.gob.ar/indec/web/Nivel4-Tema-3-8-88</t>
        </r>
      </text>
    </comment>
    <comment ref="I9" authorId="0" shapeId="0" xr:uid="{D033FB15-8052-4FE9-B707-F5B623AC00A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https://www.indec.gob.ar/indec/web/Nivel4-Tema-3-8-88</t>
        </r>
      </text>
    </comment>
    <comment ref="M9" authorId="0" shapeId="0" xr:uid="{D48918D5-3AED-4E06-AFCA-26217D45026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https://www.indec.gob.ar/indec/web/Nivel4-Tema-3-8-88</t>
        </r>
      </text>
    </comment>
    <comment ref="O9" authorId="1" shapeId="0" xr:uid="{1BF38E39-77ED-4466-AD00-6D28AB0CBAB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
https://www.indec.gob.ar/indec/web/Nivel4-Tema-3-8-88</t>
        </r>
      </text>
    </comment>
    <comment ref="P10" authorId="1" shapeId="0" xr:uid="{858E1087-F27F-4EB2-AC32-3BAF090DFF5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Farming Practices Survey 2007-2009
</t>
        </r>
      </text>
    </comment>
    <comment ref="M12" authorId="1" shapeId="0" xr:uid="{21744635-27D9-4322-AB43-0DBDA4D56F8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Agriculture Sample Survey</t>
        </r>
      </text>
    </comment>
    <comment ref="P17" authorId="1" shapeId="0" xr:uid="{B6B7D1B6-4BF7-40EB-9BCB-A7421872DEF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Encuesta Nacional Agropecuaria 2008
</t>
        </r>
      </text>
    </comment>
    <comment ref="W17" authorId="1" shapeId="0" xr:uid="{2B315D44-AE39-4100-98E3-27E16533B51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 2015, Plurinational State of Bolivia
</t>
        </r>
      </text>
    </comment>
    <comment ref="G19" authorId="0" shapeId="0" xr:uid="{BC32B235-FFB2-4231-AD72-2EBA5155FEE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H19" authorId="0" shapeId="0" xr:uid="{69DA62F2-05EF-463E-9C47-94057AC33F8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I19" authorId="0" shapeId="0" xr:uid="{C86B1AEC-0B32-4061-9384-BF7EEC3A361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J19" authorId="0" shapeId="0" xr:uid="{F3430F9B-A7C0-4635-874B-D226430CC4F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K19" authorId="0" shapeId="0" xr:uid="{AEC1582C-8DE0-4348-986B-79C090DF1F3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L19" authorId="0" shapeId="0" xr:uid="{51BB3130-F070-4581-B214-8A37FAE4BF6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N19" authorId="0" shapeId="0" xr:uid="{0AF84AA4-62E5-44CD-B479-7A951FFB4EA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O19" authorId="0" shapeId="0" xr:uid="{F5F8CFD1-222E-49C8-8493-D9A4AF4B59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Q19" authorId="0" shapeId="0" xr:uid="{EEAEFA04-78D0-4D4D-BCBD-B05C25B5362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S19" authorId="0" shapeId="0" xr:uid="{23075E89-4B43-4FB0-8A31-DAFBE0CB915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T19" authorId="0" shapeId="0" xr:uid="{92C5412C-7C6C-4A89-9CF9-39A48E0E97B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U19" authorId="0" shapeId="0" xr:uid="{6E795CF7-8B7A-4B7A-971F-DEC696ED4C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V19" authorId="0" shapeId="0" xr:uid="{BE29DC7F-4720-415E-A339-52E5B8AF3DE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W19" authorId="0" shapeId="0" xr:uid="{F849DDC7-4FED-479D-920C-97FB2FA0329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Y19" authorId="0" shapeId="0" xr:uid="{6BC5D222-C712-41B4-93F1-1E8207E0FC6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AA19" authorId="0" shapeId="0" xr:uid="{E02D5012-BAC9-456B-8964-7F28E626516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https://www.statsbots.org.bw/publication-by-sector/agriculture</t>
        </r>
      </text>
    </comment>
    <comment ref="D20" authorId="0" shapeId="0" xr:uid="{A1F46313-EAEB-444D-9222-90948C1FFB8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
https://metadados.ibge.gov.br/consulta/estatisticos/operacoes-estatisticas/LA/2001/1/0</t>
        </r>
      </text>
    </comment>
    <comment ref="E20" authorId="0" shapeId="0" xr:uid="{D781C216-9241-4F56-A127-1BD07E6BA2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F20" authorId="0" shapeId="0" xr:uid="{9CD5AF16-6B4A-4B7B-8DAF-2EC3A3C334A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G20" authorId="0" shapeId="0" xr:uid="{534A72E3-5E90-4552-B961-B60D0A3669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H20" authorId="0" shapeId="0" xr:uid="{F37EA451-F295-4888-966D-0717F101192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I20" authorId="0" shapeId="0" xr:uid="{BEBBC96B-53D0-4CF7-8B9B-82E3D3A2BCE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J20" authorId="0" shapeId="0" xr:uid="{D64363DD-4DC7-4EE8-B4F6-2131F1CD840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K20" authorId="0" shapeId="0" xr:uid="{021F0976-217A-4A6B-8328-8DAC3244735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L20" authorId="0" shapeId="0" xr:uid="{8C5F8244-20B2-4F26-B9F7-FB656DF91F6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M20" authorId="0" shapeId="0" xr:uid="{23F658D5-5E7A-4C4F-8812-5F72B39619A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N20" authorId="0" shapeId="0" xr:uid="{A1164CDD-1B92-406A-B371-3DCA30098C8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O20" authorId="0" shapeId="0" xr:uid="{DF24FC20-A4E5-4357-AC89-8616FDBD17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P20" authorId="0" shapeId="0" xr:uid="{DF10EF49-0D17-4325-B954-5ABA085A9C1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Q20" authorId="0" shapeId="0" xr:uid="{9F7C4D54-1522-46A4-8621-A1708D9A3B4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R20" authorId="0" shapeId="0" xr:uid="{B980C078-0647-43FD-ABB1-947F99F3DC3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S20" authorId="0" shapeId="0" xr:uid="{F18483CD-F42A-416C-A0E8-49BFF7E52E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T20" authorId="0" shapeId="0" xr:uid="{906EDB03-2B2F-4711-9A70-AB53F7D26B5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U20" authorId="0" shapeId="0" xr:uid="{73767C0F-7854-4969-81F1-A65B3B6994B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V20" authorId="0" shapeId="0" xr:uid="{C047BC13-EDA4-4C06-90DD-D56093F6664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W20" authorId="0" shapeId="0" xr:uid="{3BCF83A1-850E-4F62-A038-DE389CA7CFA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X20" authorId="0" shapeId="0" xr:uid="{25015D52-08D8-430C-A4A5-EF31440A716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Y20" authorId="0" shapeId="0" xr:uid="{470A8987-9F4F-4270-B45D-3493242E7D8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Z20" authorId="0" shapeId="0" xr:uid="{18405ED8-CB89-4414-BFB1-3D8DDA83903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AA20" authorId="0" shapeId="0" xr:uid="{404736A8-E7E4-4654-B3A8-F1BEB73B6FE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https://biblioteca.ibge.gov.br/index.php/biblioteca-catalogo?view=detalhes&amp;id=766</t>
        </r>
      </text>
    </comment>
    <comment ref="K21" authorId="1" shapeId="0" xr:uid="{D30BAD2D-BD6D-445F-86C2-C692D2F73C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Labor Force Survey - Eurostat Standardized Datasets</t>
        </r>
      </text>
    </comment>
    <comment ref="M21" authorId="0" shapeId="0" xr:uid="{E8F6DE63-1E89-4E59-ACE0-724F4AB345D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O21" authorId="0" shapeId="0" xr:uid="{7239EBF6-A42D-45A1-B6CE-128163B7966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R21" authorId="0" shapeId="0" xr:uid="{253FA228-F65C-422B-A3C2-77B9159E54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U21" authorId="0" shapeId="0" xr:uid="{9D681557-5948-410E-80E6-CA1289B8D6D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X21" authorId="0" shapeId="0" xr:uid="{DD5178E7-ED6C-4253-8BC1-04DFA22015A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D22" authorId="1" shapeId="0" xr:uid="{91FABB58-9F44-484A-BE75-A175B6A989C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E22" authorId="1" shapeId="0" xr:uid="{CA9A27AD-0815-4B5E-AACA-AE6CEE962C9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F22" authorId="1" shapeId="0" xr:uid="{6C65A0DC-C638-49DE-A303-82307F5A285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G22" authorId="1" shapeId="0" xr:uid="{C85C9911-4A61-4EAD-B832-A7F9B689B3F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H22" authorId="1" shapeId="0" xr:uid="{DE8C8713-4700-4145-A6F0-C1534B72F03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I22" authorId="1" shapeId="0" xr:uid="{FECEF8E9-EFC2-4238-82CE-383ACA11B3E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J22" authorId="1" shapeId="0" xr:uid="{56B98C7E-D157-4ADB-954F-E0594A2D739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K22" authorId="1" shapeId="0" xr:uid="{46F03AA8-4051-43A0-A5A4-3B8DFC433E5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L22" authorId="1" shapeId="0" xr:uid="{C4E961B8-87FC-4C60-9FA3-9332E799372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M22" authorId="1" shapeId="0" xr:uid="{075647D7-41E1-4FFB-8FF0-63279A4DDED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N22" authorId="1" shapeId="0" xr:uid="{F959549E-51ED-487E-978D-DB37830034A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O22" authorId="1" shapeId="0" xr:uid="{7A78373A-D3AD-422B-96F3-39BC1BC86B2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S23" authorId="0" shapeId="0" xr:uid="{D1767D60-062A-494A-8BF2-865A1218A7A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https://isteebu.bi/nada/index.php/catalog/2</t>
        </r>
      </text>
    </comment>
    <comment ref="AA25" authorId="0" shapeId="0" xr:uid="{7CFBE697-092E-47D9-A443-FED3DC0C5D3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http://www.nis.gov.kh/nis/Agriculture/CIAS2019/CIAS%202019%20report_FINAL_EN.pdf</t>
        </r>
      </text>
    </comment>
    <comment ref="I31" authorId="1" shapeId="0" xr:uid="{5295AC7B-28EA-4526-B4B7-11ABD613F23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P31" authorId="1" shapeId="0" xr:uid="{64FCC109-F42B-4C13-A6EE-A1386F6EB85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Experimental Survey of Agricultural Performance 2008
</t>
        </r>
      </text>
    </comment>
    <comment ref="R31" authorId="0" shapeId="0" xr:uid="{BD5ED629-F31B-4C4C-AC8A-547BAB457A6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http://microdatos.dane.gov.co/index.php/catalog/MICRODATOS#_r=&amp;collection=&amp;country=&amp;dtype=&amp;from=1970&amp;page=7&amp;ps=15&amp;sid=&amp;sk=&amp;sort_by=titl&amp;sort_order=&amp;to=2020&amp;topic=&amp;view=s&amp;vk=</t>
        </r>
      </text>
    </comment>
    <comment ref="S31" authorId="0" shapeId="0" xr:uid="{09EFE9F2-20C0-436D-BE67-F4E1A09873E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http://microdatos.dane.gov.co/index.php/catalog/MICRODATOS#_r=&amp;collection=&amp;country=&amp;dtype=&amp;from=1970&amp;page=7&amp;ps=15&amp;sid=&amp;sk=&amp;sort_by=titl&amp;sort_order=&amp;to=2020&amp;topic=&amp;view=s&amp;vk=</t>
        </r>
      </text>
    </comment>
    <comment ref="U31" authorId="0" shapeId="0" xr:uid="{7CF47E55-D9D7-4A92-8853-32F078838CC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http://microdatos.dane.gov.co/index.php/catalog/MICRODATOS#_r=&amp;collection=&amp;country=&amp;dtype=&amp;from=1970&amp;page=7&amp;ps=15&amp;sid=&amp;sk=&amp;sort_by=titl&amp;sort_order=&amp;to=2020&amp;topic=&amp;view=s&amp;vk=</t>
        </r>
      </text>
    </comment>
    <comment ref="V31" authorId="0" shapeId="0" xr:uid="{CB89B2E6-C370-43E3-B23A-6BBDF61EC6B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http://microdatos.dane.gov.co/index.php/catalog/MICRODATOS#_r=&amp;collection=&amp;country=&amp;dtype=&amp;from=1970&amp;page=7&amp;ps=15&amp;sid=&amp;sk=&amp;sort_by=titl&amp;sort_order=&amp;to=2020&amp;topic=&amp;view=s&amp;vk=</t>
        </r>
      </text>
    </comment>
    <comment ref="W31" authorId="0" shapeId="0" xr:uid="{224AEF0E-8FE4-43D3-9AB8-F1602507CFD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http://microdatos.dane.gov.co/index.php/catalog/MICRODATOS#_r=&amp;collection=&amp;country=&amp;dtype=&amp;from=1970&amp;page=7&amp;ps=15&amp;sid=&amp;sk=&amp;sort_by=titl&amp;sort_order=&amp;to=2020&amp;topic=&amp;view=s&amp;vk=</t>
        </r>
      </text>
    </comment>
    <comment ref="X31" authorId="0" shapeId="0" xr:uid="{BDC776F2-E4E1-4502-8691-47611FF7ED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http://microdatos.dane.gov.co/index.php/catalog/MICRODATOS#_r=&amp;collection=&amp;country=&amp;dtype=&amp;from=1970&amp;page=7&amp;ps=15&amp;sid=&amp;sk=&amp;sort_by=titl&amp;sort_order=&amp;to=2020&amp;topic=&amp;view=s&amp;vk=</t>
        </r>
      </text>
    </comment>
    <comment ref="Y31" authorId="0" shapeId="0" xr:uid="{FB426876-C689-48A7-BA1F-2CF67FC35AB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http://microdatos.dane.gov.co/index.php/catalog/MICRODATOS#_r=&amp;collection=&amp;country=&amp;dtype=&amp;from=1970&amp;page=7&amp;ps=15&amp;sid=&amp;sk=&amp;sort_by=titl&amp;sort_order=&amp;to=2020&amp;topic=&amp;view=s&amp;vk=</t>
        </r>
      </text>
    </comment>
    <comment ref="AA31" authorId="0" shapeId="0" xr:uid="{13966D8A-68CE-4FE5-A677-A4C746B2C86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https://www.dane.gov.co/files/investigaciones/agropecuario/enda/ena/2019/presentacion_ena_2019.pdf</t>
        </r>
      </text>
    </comment>
    <comment ref="Y35" authorId="0" shapeId="0" xr:uid="{09F6E0DB-958F-4ABD-9A74-DC2DCC071AD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https://www.inec.cr/encuesta-nacional-agropecuaria</t>
        </r>
      </text>
    </comment>
    <comment ref="Z35" authorId="0" shapeId="0" xr:uid="{CE62CB2C-196E-4BB4-9DC3-AAC1501ACE5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https://www.inec.cr/encuesta-nacional-agropecuaria</t>
        </r>
      </text>
    </comment>
    <comment ref="AA35" authorId="0" shapeId="0" xr:uid="{446324D4-FA0B-472E-B0C7-EB6F98480F1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https://www.inec.cr/encuesta-nacional-agropecuaria</t>
        </r>
      </text>
    </comment>
    <comment ref="X36" authorId="1" shapeId="0" xr:uid="{9167670B-C0E7-42CB-8B66-E21278E906E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Agrilcultural season and food vulnerability monitoring survey</t>
        </r>
      </text>
    </comment>
    <comment ref="M37" authorId="1" shapeId="0" xr:uid="{39232FFA-72B8-4B6B-A40C-4CB5D32BD97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Survey</t>
        </r>
      </text>
    </comment>
    <comment ref="O37" authorId="0" shapeId="0" xr:uid="{7E43F432-2780-4876-8976-B711D45361B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R37" authorId="0" shapeId="0" xr:uid="{E69698E0-0F15-4110-8DDB-6F1DB4B61CD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U37" authorId="0" shapeId="0" xr:uid="{C179AA5C-6762-4B17-842A-C85FC5EF4A8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X37" authorId="0" shapeId="0" xr:uid="{E387EDEE-57AE-41E9-8B99-150B80B8EF5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https://ec.europa.eu/eurostat/statistics-explained/index.php/Glossary:Farm_structure_survey_(FSS)</t>
        </r>
      </text>
    </comment>
    <comment ref="O41" authorId="0" shapeId="0" xr:uid="{FD03F6E3-DFF4-47DF-B123-42A2FD8968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P41" authorId="0" shapeId="0" xr:uid="{1F49893F-F076-4DC7-9D94-F15E76F6A41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Q41" authorId="0" shapeId="0" xr:uid="{ABF6A1FA-5AD4-4553-91E7-0B2C5DC786B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R41" authorId="0" shapeId="0" xr:uid="{86218158-0A3D-4C3A-A166-D832F64FDCD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V41" authorId="0" shapeId="0" xr:uid="{EA6042BB-F9AB-4899-BEF8-103BC64AD1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W41" authorId="0" shapeId="0" xr:uid="{F67A8DE1-E460-446A-94F3-2886792DB83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X41" authorId="0" shapeId="0" xr:uid="{CA755273-2DAB-45CD-BAAB-12A91E26E53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Y41" authorId="0" shapeId="0" xr:uid="{666A7995-BD62-4E54-91F7-5DAE1A7F09E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Z41" authorId="0" shapeId="0" xr:uid="{44916BAC-98C7-4887-A140-235D41A7B05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https://anda.inec.gob.ec/anda/index.php/catalog/777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D47" authorId="0" shapeId="0" xr:uid="{17D1FEFC-5C4E-4A98-B0B2-6E93F632340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E47" authorId="0" shapeId="0" xr:uid="{D9F8DECC-F5C4-45E4-A318-2AE7B1150E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F47" authorId="0" shapeId="0" xr:uid="{4677B66A-30DC-41D1-B556-AE62E99DB94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G47" authorId="0" shapeId="0" xr:uid="{EC40BD3E-6D78-4535-861A-405052917F9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H47" authorId="1" shapeId="0" xr:uid="{3BB1194C-8A50-4715-9650-9E089614811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I47" authorId="1" shapeId="0" xr:uid="{07EC0013-EDE7-4834-910D-1F58B124445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J47" authorId="1" shapeId="0" xr:uid="{142A1CD1-5E23-406D-AC1D-F592C470695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K47" authorId="1" shapeId="0" xr:uid="{0747DF94-EE27-4A7A-968D-CCD8976E248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L47" authorId="1" shapeId="0" xr:uid="{21D571F0-7A2A-43AC-AB1E-F5C7EE5D2E1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M47" authorId="1" shapeId="0" xr:uid="{99C953A7-8847-4475-AEA5-C69B89B7E86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N47" authorId="1" shapeId="0" xr:uid="{4DE6FBC8-E3B8-43C9-9454-8BD9C89DAFD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O47" authorId="1" shapeId="0" xr:uid="{F0096795-17F4-4112-923F-673110E846F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P47" authorId="1" shapeId="0" xr:uid="{C3CEBC23-2133-41B2-BDFF-0DF59E53817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Q47" authorId="1" shapeId="0" xr:uid="{AE29B0E9-29DE-4FC3-83CB-2EFADDA4B67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R47" authorId="1" shapeId="0" xr:uid="{05AE6376-E4FD-49E1-B3EF-D1FCF5D1B7D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S47" authorId="1" shapeId="0" xr:uid="{8EB82510-CF55-4EFA-9E92-5C4A972655C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T47" authorId="1" shapeId="0" xr:uid="{1384BBAA-89B1-4136-9DD4-9A447E6338C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U47" authorId="1" shapeId="0" xr:uid="{7A90F26D-FF93-4529-9F74-8A25AE56FDF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V47" authorId="1" shapeId="0" xr:uid="{20510374-1500-400E-A7A7-70B4A05E5F8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W47" authorId="1" shapeId="0" xr:uid="{25B91E40-855D-4889-93E0-743A17E96F9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X47" authorId="0" shapeId="0" xr:uid="{7B2D2D71-07D0-441D-8951-40DBE5445C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Y47" authorId="0" shapeId="0" xr:uid="{2B747577-AA0C-4E4F-8B43-A13B7022F1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Z47" authorId="0" shapeId="0" xr:uid="{BED9CADB-F5E3-4A38-84FE-D07027FECF6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AA47" authorId="0" shapeId="0" xr:uid="{043CB171-92A5-4370-983A-0AE5CF3EFD0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https://www.statsethiopia.gov.et/wp-content/uploads/2020/12/Crop-and-Livestock-Product-Utilization-Private-Peasant-Holdings-Meher-Season-2019-20-2012-E.C..pdf</t>
        </r>
      </text>
    </comment>
    <comment ref="M50" authorId="1" shapeId="0" xr:uid="{C17E36BD-100C-4918-B0A2-AF1C99216CD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Sample Survey
</t>
        </r>
      </text>
    </comment>
    <comment ref="S51" authorId="0" shapeId="0" xr:uid="{2A38551F-3C59-464F-9C37-ABED9EBA9D4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https://www.geostat.ge/en/single-categories/102/agriculture-of-georgia
https://www.geostat.ge/index.php/ka/page/shinameurneobebi-da-fizikuri-pirebi</t>
        </r>
      </text>
    </comment>
    <comment ref="T51" authorId="0" shapeId="0" xr:uid="{A3951844-8A85-4706-A36A-5A784ACE1B5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https://www.geostat.ge/en/single-categories/102/agriculture-of-georgia
https://www.geostat.ge/index.php/ka/page/shinameurneobebi-da-fizikuri-pirebi</t>
        </r>
      </text>
    </comment>
    <comment ref="U51" authorId="0" shapeId="0" xr:uid="{2C98D406-50BA-417E-A4EB-DB096F3838E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https://www.geostat.ge/en/single-categories/102/agriculture-of-georgia
https://www.geostat.ge/index.php/ka/page/shinameurneobebi-da-fizikuri-pirebi</t>
        </r>
      </text>
    </comment>
    <comment ref="V51" authorId="0" shapeId="0" xr:uid="{C8F8AE2C-D492-41AA-B17D-19626F2CFAB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https://www.geostat.ge/en/single-categories/102/agriculture-of-georgia
https://www.geostat.ge/index.php/ka/page/shinameurneobebi-da-fizikuri-pirebi</t>
        </r>
      </text>
    </comment>
    <comment ref="W51" authorId="0" shapeId="0" xr:uid="{E83E9058-5125-4639-9BA2-C6FC798717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https://www.geostat.ge/en/single-categories/102/agriculture-of-georgia
https://www.geostat.ge/index.php/ka/page/shinameurneobebi-da-fizikuri-pirebi</t>
        </r>
      </text>
    </comment>
    <comment ref="X51" authorId="0" shapeId="0" xr:uid="{9CD4CBD6-F477-4AA6-954F-4B321B11EE4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https://www.geostat.ge/en/single-categories/102/agriculture-of-georgia
https://www.geostat.ge/index.php/ka/page/shinameurneobebi-da-fizikuri-pirebi</t>
        </r>
      </text>
    </comment>
    <comment ref="Y51" authorId="0" shapeId="0" xr:uid="{E11B2F50-8CCB-459B-967C-7392D29E53E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https://www.geostat.ge/en/single-categories/102/agriculture-of-georgia
https://www.geostat.ge/index.php/ka/page/shinameurneobebi-da-fizikuri-pirebi</t>
        </r>
      </text>
    </comment>
    <comment ref="Z51" authorId="0" shapeId="0" xr:uid="{4CE7F28C-ECA9-44F9-9173-C15F07C7457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https://www.geostat.ge/en/single-categories/102/agriculture-of-georgia
https://www.geostat.ge/index.php/ka/page/shinameurneobebi-da-fizikuri-pirebi</t>
        </r>
      </text>
    </comment>
    <comment ref="U52" authorId="0" shapeId="0" xr:uid="{EE606FFA-6BA0-4E1A-8107-08917DEF8B7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https://www2.statsghana.gov.gh/nada/index.php/catalog/87/study-description</t>
        </r>
      </text>
    </comment>
    <comment ref="P54" authorId="0" shapeId="0" xr:uid="{A2F690A2-A98F-4E08-A08F-F7329E3965A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https://www.ine.gob.gt/sistema/uploads/2019/05/08/2019050892300PKdhtXMmr18n2L9K88eMlGn7CcctT9Rw.pdf</t>
        </r>
      </text>
    </comment>
    <comment ref="U54" authorId="0" shapeId="0" xr:uid="{1991823B-7B15-4545-A5F1-97CB45B5F5B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https://www.ine.gob.gt/sistema/uploads/2014/06/03/OX6AAFPjaBJEjjCOiK2jz8YQ8djtLyub.pdf</t>
        </r>
      </text>
    </comment>
    <comment ref="V54" authorId="0" shapeId="0" xr:uid="{74FE84EB-22F8-4E59-A5F0-A31C0552B84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https://www.ine.gob.gt/ine/encuesta-nacional-agropecuaria/
https://www.ine.gob.gt/sistema/uploads/2015/10/16/iQH6CPCSZUC1uOPe8fRZPen2qvS5DWsO.pdf</t>
        </r>
      </text>
    </comment>
    <comment ref="W54" authorId="0" shapeId="0" xr:uid="{AFDBB25D-0833-4730-8B9C-D1F0D98DDBF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https://www.ine.gob.gt/sistema/uploads/2016/10/04/PqrbKvoTCXA0f3A1TR7rlwL7R545pAZ4.pdf</t>
        </r>
      </text>
    </comment>
    <comment ref="Y54" authorId="0" shapeId="0" xr:uid="{422F2E11-BAE0-4D08-8F69-B4DA9CEFB5F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https://www.ine.gob.gt/sistema/uploads/2019/01/29/20190129112819t0K8vdPBkGZYjIhvSXRqTgPE0PsoxC9R.pdf</t>
        </r>
      </text>
    </comment>
    <comment ref="Z54" authorId="0" shapeId="0" xr:uid="{B0B2F61E-3390-43D3-B6D6-01DD5308EF6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https://www.ine.gob.gt/sistema/uploads/2020/01/15/20200115211422F2bGNAvSXAHCJsfI1SReTg1sJMZq9Qfs.pdf</t>
        </r>
      </text>
    </comment>
    <comment ref="AA54" authorId="0" shapeId="0" xr:uid="{FF77AF70-A002-43A2-8B5A-62C70D694B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https://www.ine.gob.gt/sistema/uploads/2021/01/22/20210122164213QDinUvuRa9GjopyXaTuNMXc3gd6Jq1Q1.pdf</t>
        </r>
      </text>
    </comment>
    <comment ref="O59" authorId="0" shapeId="0" xr:uid="{20668CE2-B44E-4535-A061-8AA60641405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https://www.ine.gob.hn/V3/encuesta-agropecuaria-basica/</t>
        </r>
      </text>
    </comment>
    <comment ref="Z62" authorId="0" shapeId="0" xr:uid="{93D34EED-ADD6-42E0-9F85-2A712FBD235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https://www.amar.org.ir/Portals/1/releases/agriculture/Selected_Results_of_Crop_Survey_the_Year_1397.pdf</t>
        </r>
      </text>
    </comment>
    <comment ref="AA62" authorId="0" shapeId="0" xr:uid="{2E5B2673-1053-4A5D-972C-98968588C2C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https://www.amar.org.ir/Portals/1/releases/agriculture/Permanen_Crops_Survey.pdf</t>
        </r>
      </text>
    </comment>
    <comment ref="O65" authorId="0" shapeId="0" xr:uid="{D4A8B26D-9982-4F25-AAA5-847C55220ED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P65" authorId="0" shapeId="0" xr:uid="{F042DF33-4F8D-4003-9ED3-73EDCD950F6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Q65" authorId="0" shapeId="0" xr:uid="{0C2E8954-E31D-446C-89F3-6D79FB8EF58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R65" authorId="0" shapeId="0" xr:uid="{9A78BC9B-C22D-4167-8E47-FB19351F96E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S65" authorId="0" shapeId="0" xr:uid="{879F8FD8-4C6C-4E0E-8ED6-3F5EED72C20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T65" authorId="0" shapeId="0" xr:uid="{34635D9B-1D85-4F62-A1BA-5BF76740C7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U65" authorId="0" shapeId="0" xr:uid="{A9BBA05C-EA3E-4490-AB31-81D778D285A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V65" authorId="0" shapeId="0" xr:uid="{2B7645FB-8B84-42FC-BB68-41EE39573B6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W65" authorId="0" shapeId="0" xr:uid="{C4D490A7-0100-4DFC-9AAF-93D04469971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X65" authorId="0" shapeId="0" xr:uid="{81DAE3E0-F8BA-4FAF-8DC2-5A8434A1FA9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Y65" authorId="0" shapeId="0" xr:uid="{7AF61DDC-86FF-4A25-8AC1-9397E367436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http://dosweb.dos.gov.jo/product-category/agricultural-statistics/</t>
        </r>
      </text>
    </comment>
    <comment ref="W69" authorId="0" shapeId="0" xr:uid="{4AF107F9-A12A-41C6-A8C6-5A5B0984143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https://ask.rks-gov.net/en/kosovo-agency-of-statistics/agriculture/agricultural-household-survey</t>
        </r>
      </text>
    </comment>
    <comment ref="X69" authorId="0" shapeId="0" xr:uid="{5CC7948A-2081-403D-BBE4-C23629ACF2E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https://ask.rks-gov.net/en/kosovo-agency-of-statistics/agriculture/agricultural-household-survey</t>
        </r>
      </text>
    </comment>
    <comment ref="Y69" authorId="0" shapeId="0" xr:uid="{009469C3-5AE4-41B8-81AE-8E6C3B8424A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https://ask.rks-gov.net/en/kosovo-agency-of-statistics/agriculture/agricultural-household-survey</t>
        </r>
      </text>
    </comment>
    <comment ref="Z69" authorId="0" shapeId="0" xr:uid="{544E3E47-84B1-4A58-9E8A-4D106D7DFA6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https://ask.rks-gov.net/en/kosovo-agency-of-statistics/agriculture/agricultural-household-survey</t>
        </r>
      </text>
    </comment>
    <comment ref="AA69" authorId="0" shapeId="0" xr:uid="{C2AE7AA4-11B0-49C3-BA41-D29CEB2B390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https://ask.rks-gov.net/en/kosovo-agency-of-statistics/agriculture/agricultural-household-survey</t>
        </r>
      </text>
    </comment>
    <comment ref="X73" authorId="0" shapeId="0" xr:uid="{0B010600-A1F0-4743-B1DD-3DB19CAF306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http://www.bos.gov.ls/Publications.htm</t>
        </r>
      </text>
    </comment>
    <comment ref="Y73" authorId="0" shapeId="0" xr:uid="{10F255DC-76DF-4F5C-AA21-43F24BC6AB2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http://www.bos.gov.ls/Publications.htm</t>
        </r>
      </text>
    </comment>
    <comment ref="Z73" authorId="1" shapeId="0" xr:uid="{8DA181EB-5C38-4ABD-863B-58C3A76DA20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agricultural production survey</t>
        </r>
      </text>
    </comment>
    <comment ref="P74" authorId="0" shapeId="0" xr:uid="{C7AD8D45-6DDB-4C4F-9E52-85277D3853C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http://www.lisgis.net/pg_img/2008-2009%20CROP%20ASSESSMENT%20REPORT.pdf</t>
        </r>
      </text>
    </comment>
    <comment ref="R76" authorId="0" shapeId="0" xr:uid="{ED42418F-7099-4397-8A5D-B7560C6DC50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https://ec.europa.eu/eurostat/cache/metadata/EN/ef_esqrs_mk.htm</t>
        </r>
      </text>
    </comment>
    <comment ref="U76" authorId="0" shapeId="0" xr:uid="{FBF5DC59-8624-479B-85D7-F2FEDD2C3F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https://ec.europa.eu/eurostat/cache/metadata/EN/ef_esqrs_mk.htm</t>
        </r>
      </text>
    </comment>
    <comment ref="X76" authorId="0" shapeId="0" xr:uid="{F76954BE-BF0A-44EE-B24B-2E495542642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https://ec.europa.eu/eurostat/cache/metadata/EN/ef_esqrs_mk.htm</t>
        </r>
      </text>
    </comment>
    <comment ref="N81" authorId="0" shapeId="0" xr:uid="{ECE82CF0-1413-4148-A9BE-754B14CD1B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https://microdatalib.worldbank.org/index.php/catalog/10498#metadata-coverage</t>
        </r>
      </text>
    </comment>
    <comment ref="O81" authorId="0" shapeId="0" xr:uid="{32458EA1-AFE5-4E62-A889-89A34D1F36C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https://microdatalib.worldbank.org/index.php/catalog/8768</t>
        </r>
      </text>
    </comment>
    <comment ref="V81" authorId="0" shapeId="0" xr:uid="{FE9D7308-4898-4374-9D93-83EC2CA7A92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https://microdatalib.worldbank.org/index.php/catalog/7305</t>
        </r>
      </text>
    </comment>
    <comment ref="Y81" authorId="0" shapeId="0" xr:uid="{DA1C6DD1-E671-47CF-881A-5BA2ADE7F9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https://microdatalib.worldbank.org/index.php/catalog/10311#metadata-coverage</t>
        </r>
      </text>
    </comment>
    <comment ref="M84" authorId="0" shapeId="0" xr:uid="{8558BE7E-AFF7-4268-A182-CA34FC3840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https://statsmauritius.govmu.org/Documents/Census_and_Surveys/Acops/acops.pdf</t>
        </r>
      </text>
    </comment>
    <comment ref="Y85" authorId="0" shapeId="0" xr:uid="{74C2A70E-246D-45EB-AAF3-C21AF48FF04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https://www.inegi.org.mx/programas/ena/2017/</t>
        </r>
      </text>
    </comment>
    <comment ref="AA85" authorId="0" shapeId="0" xr:uid="{CA817944-EC21-415C-9457-44C9F631C19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https://www.inegi.org.mx/programas/ena/2019/</t>
        </r>
      </text>
    </comment>
    <comment ref="X89" authorId="0" shapeId="0" xr:uid="{409EB478-5530-4BBC-9A77-22330DD1BA8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https://www.monstat.org/userfiles/file/fss/Saopstenje%20FSS-final%2029_12_2017%20eng.pdf</t>
        </r>
      </text>
    </comment>
    <comment ref="M91" authorId="0" shapeId="0" xr:uid="{3D993C02-D5CF-4E87-A2C5-7B39DF74426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https://microdatalib.worldbank.org/index.php/catalog/10401</t>
        </r>
      </text>
    </comment>
    <comment ref="N91" authorId="0" shapeId="0" xr:uid="{92BA3448-B68A-4B29-AE5A-140454AF0F0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https://microdatalib.worldbank.org/index.php/catalog/10402#metadata-coverage</t>
        </r>
      </text>
    </comment>
    <comment ref="U98" authorId="0" shapeId="0" xr:uid="{2ED15458-557B-42DF-ADD7-956C5D8C5DA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https://microdatalib.worldbank.org/index.php/catalog/11732</t>
        </r>
      </text>
    </comment>
    <comment ref="Y104" authorId="0" shapeId="0" xr:uid="{0D04F6B9-CD98-4A25-BA36-9BD18E11CC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National Agricultural Survey 2017</t>
        </r>
      </text>
    </comment>
    <comment ref="Z104" authorId="0" shapeId="0" xr:uid="{2BC3937A-2BF8-46DB-B5E4-B4C7407EB62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http://webinei.inei.gob.pe/anda_inei/index.php/catalog/702</t>
        </r>
      </text>
    </comment>
    <comment ref="P105" authorId="0" shapeId="0" xr:uid="{EBF36021-6F78-4E56-A766-B79D41C56CF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Crops Production Survey 2008</t>
        </r>
      </text>
    </comment>
    <comment ref="X105" authorId="0" shapeId="0" xr:uid="{288F0322-5AB5-4304-9833-753F953DAB5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http://psada.psa.gov.ph/index.php/catalog/191</t>
        </r>
      </text>
    </comment>
    <comment ref="Y105" authorId="0" shapeId="0" xr:uid="{0D28C1EF-BFCD-4999-BAB0-F261CC5607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http://psada.psa.gov.ph/index.php/catalog/212</t>
        </r>
      </text>
    </comment>
    <comment ref="X106" authorId="0" shapeId="0" xr:uid="{98D4FEA9-4B58-4A06-82CE-F86793B1747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https://ec.europa.eu/eurostat/cache/metadata/EN/ef_esqrs_pl.htm
https://ec.europa.eu/eurostat/statistics-explained/index.php/Glossary:Farm_structure_survey_(FSS)</t>
        </r>
      </text>
    </comment>
    <comment ref="U107" authorId="0" shapeId="0" xr:uid="{4C5EF188-1125-4311-B96A-6E0B10E7C43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https://insse.ro/cms/ro/content/ancheta-structural%C4%83-%C3%AEn-agricultur%C4%83-2013</t>
        </r>
      </text>
    </comment>
    <comment ref="X107" authorId="0" shapeId="0" xr:uid="{B29D8C53-709C-4F5F-84FF-ECF4BB287FF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https://insse.ro/cms/ro/content/ancheta-structurala-agricultura</t>
        </r>
      </text>
    </comment>
    <comment ref="I109" authorId="0" shapeId="0" xr:uid="{FB04363F-47AE-40F1-824E-F2402955CA6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http://statistics.gov.rw/datasource/national-agriculture-survey</t>
        </r>
      </text>
    </comment>
    <comment ref="O109" authorId="0" shapeId="0" xr:uid="{15B7FDAC-FD87-4E73-A899-6C71B215B4E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http://statistics.gov.rw/datasource/national-agriculture-survey</t>
        </r>
      </text>
    </comment>
    <comment ref="T109" authorId="0" shapeId="0" xr:uid="{71A7F583-C5A8-4F85-8CA8-56DDBDDFFA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https://www.statistics.gov.rw/datasource/seasonal-agricultural-survey</t>
        </r>
      </text>
    </comment>
    <comment ref="V109" authorId="0" shapeId="0" xr:uid="{C0E4CFEA-DE8B-4779-904C-96A606A4389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http://statistics.gov.rw/datasource/seasonal-agricultural-survey</t>
        </r>
      </text>
    </comment>
    <comment ref="X109" authorId="0" shapeId="0" xr:uid="{5E42F603-8416-4338-8DAE-A04BD096504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http://statistics.gov.rw/datasource/seasonal-agricultural-survey</t>
        </r>
      </text>
    </comment>
    <comment ref="AA109" authorId="0" shapeId="0" xr:uid="{638D6F07-1D1A-4703-BE23-32CE67784BD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http://statistics.gov.rw/datasource/seasonal-agricultural-survey</t>
        </r>
      </text>
    </comment>
    <comment ref="M110" authorId="0" shapeId="0" xr:uid="{0D306310-9160-4DB5-ACFD-231B2E926B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https://www.sbs.gov.ws/digi/2005_AG_CENSUS_REPORT.pdf</t>
        </r>
      </text>
    </comment>
    <comment ref="W110" authorId="0" shapeId="0" xr:uid="{5B72A00B-C4D7-4039-BE75-C96674517C6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https://www.sbs.gov.ws/digi/2015%20Samoa%20Agricultural%20Survey.pdf</t>
        </r>
      </text>
    </comment>
    <comment ref="Y112" authorId="0" shapeId="0" xr:uid="{8FD48921-F2C4-4BC7-9BE3-7835113C665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http://anads.ansd.sn/index.php/catalog</t>
        </r>
      </text>
    </comment>
    <comment ref="Z112" authorId="0" shapeId="0" xr:uid="{BD940EDD-3209-4A37-8B36-10AA79467EF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http://anads.ansd.sn/index.php/catalog/218</t>
        </r>
      </text>
    </comment>
    <comment ref="Z113" authorId="0" shapeId="0" xr:uid="{49A62A02-37D7-417A-BF93-72EB40E39A6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https://data.stat.gov.rs/Metadata/13_Poljoprivreda/Html/S008011_ESMS_G3_2018_3.html#ACCESSIBILITY_CLARITY
https://ec.europa.eu/eurostat/statistics-explained/index.php/Glossary:Farm_structure_survey_(FSS)</t>
        </r>
      </text>
    </comment>
    <comment ref="X118" authorId="0" shapeId="0" xr:uid="{C379828D-B378-4721-94C4-CEE0E0B1387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http://www.statssa.gov.za/?page_id=1866&amp;PPN=P1101&amp;SCH=7379</t>
        </r>
      </text>
    </comment>
    <comment ref="X120" authorId="0" shapeId="0" xr:uid="{56E43632-0ED7-4616-9A47-FAC0ED634D1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http://www.statistics.gov.lk/agriculture/Publications/AHS/AHS2016-17Report.pdf</t>
        </r>
      </text>
    </comment>
    <comment ref="X128" authorId="0" shapeId="0" xr:uid="{C10330C6-A697-4F4B-8EF1-E800C681395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https://www.nbs.go.tz/index.php/en/census-surveys/agriculture-statistics</t>
        </r>
      </text>
    </comment>
    <comment ref="P129" authorId="0" shapeId="0" xr:uid="{C68E1FEF-F6D7-45DA-8D4B-6A4FB635173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http://web.nso.go.th/en/pub/eco/530820agri08.htm
http://web.nso.go.th/en/pub/eco/pub_eco.htm</t>
        </r>
      </text>
    </comment>
    <comment ref="L134" authorId="0" shapeId="0" xr:uid="{D5D0075C-02F8-4B7C-9F57-E7C9C5D73E8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https://microdatalib.worldbank.org/index.php/catalog/5760#metadata-coverage</t>
        </r>
      </text>
    </comment>
    <comment ref="N135" authorId="0" shapeId="0" xr:uid="{D3682D53-B927-44B0-858D-742C1CFFDA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https://data.tuik.gov.tr/Kategori/GetKategori?p=tarim-111&amp;dil=2</t>
        </r>
      </text>
    </comment>
    <comment ref="X135" authorId="0" shapeId="0" xr:uid="{83E25A18-BB8F-4339-9263-C9BF0B9E8CF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https://data.tuik.gov.tr/Kategori/GetKategori?p=tarim-111&amp;dil=2</t>
        </r>
      </text>
    </comment>
    <comment ref="Z138" authorId="0" shapeId="0" xr:uid="{568D7B62-16E7-4B0E-8628-7911EA7ED69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https://www.ubos.org/microdata/index.php/catalog/62</t>
        </r>
      </text>
    </comment>
    <comment ref="I146" authorId="0" shapeId="0" xr:uid="{2FA8237E-A0C7-4F3D-A8A7-54AD4F17921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https://microdatalib.worldbank.org/index.php/catalog/9498#metadata-coverage</t>
        </r>
      </text>
    </comment>
    <comment ref="K146" authorId="0" shapeId="0" xr:uid="{4FF0DBDF-3A2E-46F9-BCBD-EDA8FB71BF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https://microdatalib.worldbank.org/index.php/catalog/7086#metadata-coverage</t>
        </r>
      </text>
    </comment>
    <comment ref="Q146" authorId="0" shapeId="0" xr:uid="{F1472FCD-D888-4B6B-9327-734A5F0B4F4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https://microdatalib.worldbank.org/index.php/catalog/7103</t>
        </r>
      </text>
    </comment>
    <comment ref="T146" authorId="0" shapeId="0" xr:uid="{A2D939E0-E07D-4260-8E86-4202929415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https://www.zamstats.gov.zm/index.php/publications/category/17-agriculture</t>
        </r>
      </text>
    </comment>
    <comment ref="V146" authorId="0" shapeId="0" xr:uid="{8D22D598-1018-411B-8578-B7102CEC392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https://www.zamstats.gov.zm/index.php/publications/category/17-agriculture</t>
        </r>
      </text>
    </comment>
    <comment ref="T147" authorId="0" shapeId="0" xr:uid="{B3777812-914D-4C3A-AEB1-052F0470B2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http://www.nada.zimstat.co.zw/nada/index.php/catalog/67</t>
        </r>
      </text>
    </comment>
    <comment ref="W147" authorId="0" shapeId="0" xr:uid="{B7AC9A45-2F2E-4029-A751-7061CDB1E68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http://www.zimstat.co.zw/sites/default/files/img/publications/Agriculture/A2_2015_0.pdf</t>
        </r>
      </text>
    </comment>
    <comment ref="Y147" authorId="0" shapeId="0" xr:uid="{CDAF806D-5304-4820-BEAB-C7FE9134B7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http://www.zimstat.co.zw/sites/default/files/img/publications/Agriculture/APM_%20Report.pdf</t>
        </r>
      </text>
    </comment>
    <comment ref="L148" authorId="0" shapeId="0" xr:uid="{6CA9BF3C-6381-43CD-BEAC-FE055CB20BE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http://www.pcbs.gov.ps/pcbs_2012/Publications.aspx</t>
        </r>
      </text>
    </comment>
    <comment ref="S148" authorId="0" shapeId="0" xr:uid="{CDFE815B-33E2-45E3-933A-DD2D913C9C5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deleted by Dereje since we took latest in previous collection</t>
        </r>
      </text>
    </comment>
    <comment ref="W148" authorId="0" shapeId="0" xr:uid="{83A0CCB1-F00C-4514-AB9B-380FAF47CE5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http://www.pcbs.gov.ps/pcbs_2012/Publications.aspx</t>
        </r>
      </text>
    </comment>
    <comment ref="I152" authorId="0" shapeId="0" xr:uid="{2E7EDEB8-990F-4A80-82B9-623C010800D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J152" authorId="0" shapeId="0" xr:uid="{438EC3D3-62E1-4E99-8EFD-6BF92310CF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K152" authorId="0" shapeId="0" xr:uid="{DCE703C5-FAB6-4910-8F26-FDA9802326D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 and Farm Structure Survey (FSS)</t>
        </r>
      </text>
    </comment>
    <comment ref="L152" authorId="0" shapeId="0" xr:uid="{C1C68887-E096-4D48-A83E-968349F8A2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M152" authorId="0" shapeId="0" xr:uid="{F20A1999-F2DD-4A1F-92B9-709F2E5AD95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 and Farm Structure Survey (FSS)</t>
        </r>
      </text>
    </comment>
    <comment ref="N152" authorId="0" shapeId="0" xr:uid="{E5CAE160-7DE1-4FE1-B288-08E5E379C21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O152" authorId="0" shapeId="0" xr:uid="{ACE874A1-30C0-4843-8C78-141CF09438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 and Farm Structure Survey (FSS)</t>
        </r>
      </text>
    </comment>
    <comment ref="P152" authorId="0" shapeId="0" xr:uid="{C8CEC459-E47C-438F-8ACD-E526C94F372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Q152" authorId="0" shapeId="0" xr:uid="{83D942D7-4AAA-4AD4-B136-BF0245E3684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R152" authorId="0" shapeId="0" xr:uid="{6BFB8017-5303-4043-8947-450961DBF6F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S152" authorId="0" shapeId="0" xr:uid="{FCF9C8A8-8409-405D-9145-297AA2B875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T152" authorId="0" shapeId="0" xr:uid="{B09CC297-C15F-462E-903F-D7486C1DDD3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U152" authorId="0" shapeId="0" xr:uid="{1B8FA84F-4C6D-4573-9F30-965E8779FD4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 and Farm Structure Survey (FSS)</t>
        </r>
      </text>
    </comment>
    <comment ref="V152" authorId="0" shapeId="0" xr:uid="{4C254063-581F-4EE1-ABB7-1A363933C8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W152" authorId="0" shapeId="0" xr:uid="{5521C67F-B2C2-4C0A-B47F-645527D796B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X152" authorId="0" shapeId="0" xr:uid="{A47F0CEF-69E2-4EB8-9DD5-537507EC19B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 and Farm Structure Survey (FSS)</t>
        </r>
      </text>
    </comment>
    <comment ref="Y152" authorId="0" shapeId="0" xr:uid="{D9A3DC73-0F80-4F8F-B670-DDC5D4F122B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  <comment ref="Z152" authorId="0" shapeId="0" xr:uid="{03766C10-CC4B-4C34-80C8-C75B41055C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Agricultural Statistical Survey</t>
        </r>
      </text>
    </comment>
  </commentList>
</comments>
</file>

<file path=xl/sharedStrings.xml><?xml version="1.0" encoding="utf-8"?>
<sst xmlns="http://schemas.openxmlformats.org/spreadsheetml/2006/main" count="865" uniqueCount="478">
  <si>
    <t>Time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</si>
  <si>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</si>
  <si>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</si>
  <si>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</si>
  <si>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</si>
  <si>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</si>
  <si>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</si>
  <si>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</si>
  <si>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</si>
  <si>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</si>
  <si>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</si>
  <si>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</si>
  <si>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</si>
  <si>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</si>
  <si>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</si>
  <si>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</si>
  <si>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</si>
  <si>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</si>
  <si>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</si>
  <si>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</si>
  <si>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</si>
  <si>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</si>
  <si>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</si>
  <si>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</si>
  <si>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</si>
  <si>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</si>
  <si>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Code</t>
  </si>
  <si>
    <t>Series</t>
  </si>
  <si>
    <t>SCALE</t>
  </si>
  <si>
    <t>AFG</t>
  </si>
  <si>
    <t>SC.SVY.AGRI.ZS</t>
  </si>
  <si>
    <t>ALB</t>
  </si>
  <si>
    <t>DZA</t>
  </si>
  <si>
    <t>AGO</t>
  </si>
  <si>
    <t>ATG</t>
  </si>
  <si>
    <t>ARG</t>
  </si>
  <si>
    <t>ARM</t>
  </si>
  <si>
    <t>AZE</t>
  </si>
  <si>
    <t>BGD</t>
  </si>
  <si>
    <t>BLR</t>
  </si>
  <si>
    <t>BLZ</t>
  </si>
  <si>
    <t>BEN</t>
  </si>
  <si>
    <t>BTN</t>
  </si>
  <si>
    <t>BOL</t>
  </si>
  <si>
    <t>BIH</t>
  </si>
  <si>
    <t>BWA</t>
  </si>
  <si>
    <t>BRA</t>
  </si>
  <si>
    <t>BGR</t>
  </si>
  <si>
    <t>BFA</t>
  </si>
  <si>
    <t>BDI</t>
  </si>
  <si>
    <t>CPV</t>
  </si>
  <si>
    <t>KHM</t>
  </si>
  <si>
    <t>CMR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</si>
  <si>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</si>
  <si>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</si>
  <si>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</si>
  <si>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</si>
  <si>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</si>
  <si>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</si>
  <si>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</si>
  <si>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</si>
  <si>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</si>
  <si>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</si>
  <si>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</si>
  <si>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DJI</t>
  </si>
  <si>
    <t>DMA</t>
  </si>
  <si>
    <t>DOM</t>
  </si>
  <si>
    <t>ECU</t>
  </si>
  <si>
    <t>EGY</t>
  </si>
  <si>
    <t>SLV</t>
  </si>
  <si>
    <t>GNQ</t>
  </si>
  <si>
    <t>ERI</t>
  </si>
  <si>
    <t>SWZ</t>
  </si>
  <si>
    <t>ETH</t>
  </si>
  <si>
    <t>FJI</t>
  </si>
  <si>
    <t>GAB</t>
  </si>
  <si>
    <t>GMB</t>
  </si>
  <si>
    <t>GEO</t>
  </si>
  <si>
    <t>GHA</t>
  </si>
  <si>
    <t>GRD</t>
  </si>
  <si>
    <t>GTM</t>
  </si>
  <si>
    <t>GIN</t>
  </si>
  <si>
    <t>GNB</t>
  </si>
  <si>
    <t>GUY</t>
  </si>
  <si>
    <t>HTI</t>
  </si>
  <si>
    <t>HND</t>
  </si>
  <si>
    <t>IND</t>
  </si>
  <si>
    <t>IDN</t>
  </si>
  <si>
    <t>IRN</t>
  </si>
  <si>
    <t>IRQ</t>
  </si>
  <si>
    <t>JAM</t>
  </si>
  <si>
    <t>JOR</t>
  </si>
  <si>
    <t>KAZ</t>
  </si>
  <si>
    <t>KEN</t>
  </si>
  <si>
    <t>KIR</t>
  </si>
  <si>
    <t>XKX</t>
  </si>
  <si>
    <t>KGZ</t>
  </si>
  <si>
    <t>LAO</t>
  </si>
  <si>
    <t>LBN</t>
  </si>
  <si>
    <t>LSO</t>
  </si>
  <si>
    <t>LBR</t>
  </si>
  <si>
    <t>LBY</t>
  </si>
  <si>
    <t>MKD</t>
  </si>
  <si>
    <t>MDG</t>
  </si>
  <si>
    <t>MWI</t>
  </si>
  <si>
    <t>MYS</t>
  </si>
  <si>
    <t>MDV</t>
  </si>
  <si>
    <t>MLI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</si>
  <si>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</si>
  <si>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</si>
  <si>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</si>
  <si>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</si>
  <si>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</si>
  <si>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</si>
  <si>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</si>
  <si>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</si>
  <si>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</si>
  <si>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</si>
  <si>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</si>
  <si>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</si>
  <si>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</si>
  <si>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</si>
  <si>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NIC</t>
  </si>
  <si>
    <t>NER</t>
  </si>
  <si>
    <t>NGA</t>
  </si>
  <si>
    <t>PAK</t>
  </si>
  <si>
    <t>PLW</t>
  </si>
  <si>
    <t>PAN</t>
  </si>
  <si>
    <t>PNG</t>
  </si>
  <si>
    <t>PRY</t>
  </si>
  <si>
    <t>PER</t>
  </si>
  <si>
    <t>PHL</t>
  </si>
  <si>
    <t>POL</t>
  </si>
  <si>
    <t>ROU</t>
  </si>
  <si>
    <t>RUS</t>
  </si>
  <si>
    <t>RWA</t>
  </si>
  <si>
    <t>WSM</t>
  </si>
  <si>
    <t>STP</t>
  </si>
  <si>
    <t>SEN</t>
  </si>
  <si>
    <t>SRB</t>
  </si>
  <si>
    <t>SYC</t>
  </si>
  <si>
    <t>SLE</t>
  </si>
  <si>
    <t>SLB</t>
  </si>
  <si>
    <t>SOM</t>
  </si>
  <si>
    <t>ZAF</t>
  </si>
  <si>
    <t>SSD</t>
  </si>
  <si>
    <t>LKA</t>
  </si>
  <si>
    <t>KNA</t>
  </si>
  <si>
    <t>LCA</t>
  </si>
  <si>
    <t>VCT</t>
  </si>
  <si>
    <t>SDN</t>
  </si>
  <si>
    <t>SUR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</si>
  <si>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</si>
  <si>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</si>
  <si>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</si>
  <si>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</si>
  <si>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</si>
  <si>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</si>
  <si>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</si>
  <si>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</si>
  <si>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</si>
  <si>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</si>
  <si>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</si>
  <si>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</si>
  <si>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</si>
  <si>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</si>
  <si>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URY</t>
  </si>
  <si>
    <t>UZB</t>
  </si>
  <si>
    <t>VUT</t>
  </si>
  <si>
    <t>VEN</t>
  </si>
  <si>
    <t>VNM</t>
  </si>
  <si>
    <t>YEM</t>
  </si>
  <si>
    <t>ZMB</t>
  </si>
  <si>
    <t>ZWE</t>
  </si>
  <si>
    <t>PSE</t>
  </si>
  <si>
    <t>BHR</t>
  </si>
  <si>
    <t>BRB</t>
  </si>
  <si>
    <t>CZE</t>
  </si>
  <si>
    <t>GRC</t>
  </si>
  <si>
    <t>HUN</t>
  </si>
  <si>
    <t>LVA</t>
  </si>
  <si>
    <t>LTU</t>
  </si>
  <si>
    <t>OMN</t>
  </si>
  <si>
    <t>SAU</t>
  </si>
  <si>
    <t>SVK</t>
  </si>
  <si>
    <t>AND</t>
  </si>
  <si>
    <t>ARE</t>
  </si>
  <si>
    <t>AUS</t>
  </si>
  <si>
    <t>AUT</t>
  </si>
  <si>
    <t>BEL</t>
  </si>
  <si>
    <t>BHS</t>
  </si>
  <si>
    <t>BRN</t>
  </si>
  <si>
    <t>CAN</t>
  </si>
  <si>
    <t>CHE</t>
  </si>
  <si>
    <t>CYP</t>
  </si>
  <si>
    <t>DEU</t>
  </si>
  <si>
    <t>DNK</t>
  </si>
  <si>
    <t>ESP</t>
  </si>
  <si>
    <t>EST</t>
  </si>
  <si>
    <t>FIN</t>
  </si>
  <si>
    <t>FRA</t>
  </si>
  <si>
    <t>GBR</t>
  </si>
  <si>
    <t>IRL</t>
  </si>
  <si>
    <t>ISL</t>
  </si>
  <si>
    <t>ISR</t>
  </si>
  <si>
    <t>ITA</t>
  </si>
  <si>
    <t>JPN</t>
  </si>
  <si>
    <t>KOR</t>
  </si>
  <si>
    <t>KWT</t>
  </si>
  <si>
    <t>LUX</t>
  </si>
  <si>
    <t>MLT</t>
  </si>
  <si>
    <t>NLD</t>
  </si>
  <si>
    <t>NOR</t>
  </si>
  <si>
    <t>NZL</t>
  </si>
  <si>
    <t>PRT</t>
  </si>
  <si>
    <t>QAT</t>
  </si>
  <si>
    <t>SGP</t>
  </si>
  <si>
    <t>SVN</t>
  </si>
  <si>
    <t>SWE</t>
  </si>
  <si>
    <t>USA</t>
  </si>
  <si>
    <t>MDL</t>
  </si>
  <si>
    <t xml:space="preserve">NSO </t>
  </si>
  <si>
    <t>#</t>
  </si>
  <si>
    <t>Country</t>
  </si>
  <si>
    <t>Years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</si>
  <si>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</si>
  <si>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</si>
  <si>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</si>
  <si>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</si>
  <si>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</si>
  <si>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</si>
  <si>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</si>
  <si>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Azerbaijan</t>
  </si>
  <si>
    <t>Bangladesh</t>
  </si>
  <si>
    <t>Belarus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</si>
  <si>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</si>
  <si>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</si>
  <si>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</si>
  <si>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</si>
  <si>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</si>
  <si>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</si>
  <si>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</si>
  <si>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</si>
  <si>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</si>
  <si>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</si>
  <si>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</si>
  <si>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</si>
  <si>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</si>
  <si>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</si>
  <si>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</si>
  <si>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</si>
  <si>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</si>
  <si>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</si>
  <si>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</si>
  <si>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</si>
  <si>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</si>
  <si>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</si>
  <si>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Côte d'Ivoire</t>
  </si>
  <si>
    <t>Croatia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</si>
  <si>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</si>
  <si>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</si>
  <si>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</si>
  <si>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</si>
  <si>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</si>
  <si>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</si>
  <si>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</si>
  <si>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</si>
  <si>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Swaziland</t>
  </si>
  <si>
    <t>Ethiopia</t>
  </si>
  <si>
    <t>Fiji</t>
  </si>
  <si>
    <t>Gabon</t>
  </si>
  <si>
    <t>Gambia, The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</si>
  <si>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</si>
  <si>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</si>
  <si>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</si>
  <si>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</si>
  <si>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</si>
  <si>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</si>
  <si>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</si>
  <si>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</si>
  <si>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</si>
  <si>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India</t>
  </si>
  <si>
    <t>Indonesia</t>
  </si>
  <si>
    <t>Iran, Islamic Rep.</t>
  </si>
  <si>
    <t>Iraq</t>
  </si>
  <si>
    <t>Jamaica</t>
  </si>
  <si>
    <t>Jordan</t>
  </si>
  <si>
    <t>Kazakhstan</t>
  </si>
  <si>
    <t>Kenya</t>
  </si>
  <si>
    <t>Kiribati</t>
  </si>
  <si>
    <t>Kosovo</t>
  </si>
  <si>
    <t>Kyrgyz Republic</t>
  </si>
  <si>
    <t>Lao PDR</t>
  </si>
  <si>
    <t>Lebanon</t>
  </si>
  <si>
    <t>Lesotho</t>
  </si>
  <si>
    <t>Liberia</t>
  </si>
  <si>
    <t>Libya</t>
  </si>
  <si>
    <t>Macedonia, FYR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</si>
  <si>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</si>
  <si>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</si>
  <si>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</si>
  <si>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</si>
  <si>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</si>
  <si>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</si>
  <si>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</si>
  <si>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</si>
  <si>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</si>
  <si>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</si>
  <si>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</si>
  <si>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</si>
  <si>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</si>
  <si>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</si>
  <si>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</si>
  <si>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</si>
  <si>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</si>
  <si>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</si>
  <si>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</si>
  <si>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Nicaragua</t>
  </si>
  <si>
    <t>Niger</t>
  </si>
  <si>
    <t>Nigeria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</si>
  <si>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</si>
  <si>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</si>
  <si>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</si>
  <si>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</si>
  <si>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</si>
  <si>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</si>
  <si>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</si>
  <si>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</si>
  <si>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Romania</t>
  </si>
  <si>
    <t>Russian Federation</t>
  </si>
  <si>
    <t>Rwanda</t>
  </si>
  <si>
    <t>Samoa</t>
  </si>
  <si>
    <t>São Tomé and Principe</t>
  </si>
  <si>
    <t>Senegal</t>
  </si>
  <si>
    <t>Serbia</t>
  </si>
  <si>
    <t>Seychelles</t>
  </si>
  <si>
    <t>Sierra Leone</t>
  </si>
  <si>
    <t>Solomon Islands</t>
  </si>
  <si>
    <t>Somalia</t>
  </si>
  <si>
    <t>South Africa</t>
  </si>
  <si>
    <t>South Sudan</t>
  </si>
  <si>
    <t>Sri Lanka</t>
  </si>
  <si>
    <t>St. Kitts and Nevis</t>
  </si>
  <si>
    <t>St. Lucia</t>
  </si>
  <si>
    <t>St. Vincent and the Grenadines</t>
  </si>
  <si>
    <t>Sudan</t>
  </si>
  <si>
    <t>Suriname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</si>
  <si>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</si>
  <si>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</si>
  <si>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</si>
  <si>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</si>
  <si>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</si>
  <si>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</si>
  <si>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</si>
  <si>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</si>
  <si>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</si>
  <si>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</si>
  <si>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</si>
  <si>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</si>
  <si>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</si>
  <si>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</si>
  <si>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Uruguay</t>
  </si>
  <si>
    <t>Uzbekistan</t>
  </si>
  <si>
    <t>Vanuatu</t>
  </si>
  <si>
    <t>Venezuela, RB</t>
  </si>
  <si>
    <t>Vietnam</t>
  </si>
  <si>
    <t>Yemen, Rep.</t>
  </si>
  <si>
    <t>Zambia</t>
  </si>
  <si>
    <t>Zimbabwe</t>
  </si>
  <si>
    <t>West Bank and Gaza</t>
  </si>
  <si>
    <t>Bahrain</t>
  </si>
  <si>
    <t>Barbados</t>
  </si>
  <si>
    <t>Czech Republic</t>
  </si>
  <si>
    <t>https://ec.europa.eu/eurostat/statistics-explained/index.php?title=Glossary:Farm_structure_survey_(FSS)</t>
  </si>
  <si>
    <t>Greece</t>
  </si>
  <si>
    <t>https://www.statistics.gr/en/statistics/agr</t>
  </si>
  <si>
    <t>Hungary</t>
  </si>
  <si>
    <t>http://www.ksh.hu/agricultural_census_fss_2010</t>
  </si>
  <si>
    <t>Latvia</t>
  </si>
  <si>
    <t>https://www.csb.gov.lv/lv/statistika/statistikas-temas/lauksaimnieciba/lauksaimniecibas-skaitisana/struktura</t>
  </si>
  <si>
    <t>Lithuania</t>
  </si>
  <si>
    <t>https://www.stat.gov.lt/web/lsd/paieska?q=farm%20structure%20survey</t>
  </si>
  <si>
    <t>Oman</t>
  </si>
  <si>
    <t>Saudi Arabia</t>
  </si>
  <si>
    <t>https://www.stats.gov.sa/ar/1060-0</t>
  </si>
  <si>
    <t>Slovak Republic</t>
  </si>
  <si>
    <t>https://slovak.statistics.sk/wps/myportal/ext/searchCenter/!ut/p/z1/pZVJd6JAEMe_ylw4ki72dm6gEYlEZY1ymddiJzKyGEAd8-mnyTJJ8AXy3jQXeP3719JUVaMILVGUk2PyQOqkyEnKvleR-mto6hNZswGwbSpg6ZPAHTiSNB_J6K4LAF1CEdt2NAsbhqCDOQkwWDMDTHNgC1NLedXDF0uHPn2IIhTFeb2vt2hVrCuy5WnOQVWzDGI-LvKa5jUHNc3OHGxoVjyU5D4hPOGrIk5ImrOXhq3qZEc4yMkuJZszvy9JTDk47MhTcSQ1TWnjZx8nG7TCshZjVYl5ZbDBvDyQVH6twoCXMF5jcUMlaaC-5vUvcDBsCaybqTebDMei7LXywkYogqXNXGHqOKY-h7b-MyC4ckuvaMDOxQsAQg886NErZqf_xnynfuGKXfrGfFt_EWCjD-3F63_VfIFts_0QO9Kt_-a_A-iqC_nC_yXQ4R_PxYv4p8MhAxR_pIQzaWEL36vrDgdd-qnWEz8DuvSO0KN3hM_5z11hDA7AdDbFvqVqQjv-SyD6j7nQAFF32981_dYzWfpsvAC64zieHYZghuIYLEkwYRYEYN6-WXhP8po1qSMKgeiDDwYo3RbAUHsA_w3omgPPwNhbiPpANocjd84s-EMRe7Yqgqn2ACC0XbR62dC6gedebgGXxd4JXMtoAuim77TZXZL8fnyMdDawm7n8p0bLryd2lR6e1mxmg8An-X1RZiTOz3xFy2NScRDTPE92H3biLd8oErpuAnlIi_XL7bWt6_1PDjg4nU5XyTq7iouMg7SoD8xKRUkZb1H0eKDlGS3HpMx-VHV5iOtDSX9Uh_JIz982khYxYdfEstqhFSt-7b2ucODKoGs3hrFQR9IcVOSh1QStwsCYlQ7aZ0GQYemcfFj8zr1-fians_Rk0zueOH8B8ud5Rw!!/dz/d5/L2dBISEvZ0FBIS9nQSEh/#Z7_VLP8BB1A08UR40A7JBBP6D3O06</t>
  </si>
  <si>
    <t>https://ec.europa.eu/eurostat/statistics-explained/index.php/Glossary:Farm_structure_survey_(FSS)</t>
  </si>
  <si>
    <t>Andorra</t>
  </si>
  <si>
    <t>United Arab Emirates</t>
  </si>
  <si>
    <t>Australia</t>
  </si>
  <si>
    <t>https://www.abs.gov.au/AUSSTATS/abs@.nsf/second+level+view?ReadForm&amp;prodno=7121.0&amp;viewtitle=Agricultural%20Commodities,%20Australia~2017-18~Previous~30/04/2019&amp;&amp;tabname=Past%20Future%20Issues&amp;prodno=7121.0&amp;issue=2017-18&amp;num=&amp;view=&amp;</t>
  </si>
  <si>
    <t>https://www.abs.gov.au/AUSSTATS/abs@.nsf/Lookup/7121.0Explanatory%20Notes12017-18?OpenDocument</t>
  </si>
  <si>
    <t>https://www.abs.gov.au/statistics/industry/agriculture/australian-agriculture-broadacre-crops/2022-23</t>
  </si>
  <si>
    <t>Austria</t>
  </si>
  <si>
    <t>http://www.statistik.at/web_de/dokumentationen/Wirtschaft/Land-undForstwirtschaft/index.html</t>
  </si>
  <si>
    <t>http://www.statistik.at/web_en/statistics/Economy/agriculture_and_forestry/farm_structure_cultivated_area_yields/index.html</t>
  </si>
  <si>
    <t>http://www.statistik.at/web_de/statistiken/wirtschaft/land_und_forstwirtschaft/agrarstruktur_flaechen_ertraege/index.html</t>
  </si>
  <si>
    <t>Belgium</t>
  </si>
  <si>
    <t>https://statbel.fgov.be/de</t>
  </si>
  <si>
    <t>https://ec.europa.eu/eurostat/cache/metadata/EN/ef_esqrs_be.htm</t>
  </si>
  <si>
    <t>Bahamas, The</t>
  </si>
  <si>
    <t>Brunei Darussalam</t>
  </si>
  <si>
    <t>Canada</t>
  </si>
  <si>
    <t>https://www23.statcan.gc.ca/imdb/p2SV.pl?Function=getSurvey&amp;Id=1284254#a2</t>
  </si>
  <si>
    <t>https://www23.statcan.gc.ca/imdb/p2SV.pl?Function=getInstanceList&amp;Id=140303</t>
  </si>
  <si>
    <t>Switzerland</t>
  </si>
  <si>
    <t>https://www.bfs.admin.ch/bfs/fr/home/statistiques/agriculture-sylviculture/enquetes/stru.assetdetail.2041588.html</t>
  </si>
  <si>
    <t>https://www.bfs.admin.ch/bfs/en/home/statistics/catalogues-databases/press-releases.assetdetail.12727134.html</t>
  </si>
  <si>
    <t>https://www.bfs.admin.ch/bfs/de/home/statistiken/land-forstwirtschaft/erhebungen/lbzze.assetdetail.2041647.html</t>
  </si>
  <si>
    <t>https://www.bfs.admin.ch/bfs/fr/home/statistiques/catalogues-banques-donnees/communiques-presse.gnpdetail.2020-0284.html</t>
  </si>
  <si>
    <t>Cyprus</t>
  </si>
  <si>
    <t>https://www.mof.gov.cy/mof/cystat/statistics.nsf/agriculture_51main_en/agriculture_51main_en?OpenForm&amp;sub=1&amp;sel=2</t>
  </si>
  <si>
    <t>https://www.mof.gov.cy/mof/cystat/statistics.nsf/publications_archive_en/publications_archive_en?OpenForm&amp;OpenView&amp;RestrictToCategory=5&amp;SrcTp=1&amp;Category=0&amp;Subject=5&amp;SubSubject=1&amp;subsubtext=99&amp;</t>
  </si>
  <si>
    <t>Germany</t>
  </si>
  <si>
    <t>https://www.destatis.de/DE/Themen/Branchen-Unternehmen/Landwirtschaft-Forstwirtschaft-Fischerei/_inhalt.html</t>
  </si>
  <si>
    <t>https://www.statistischebibliothek.de/mir/receive/DESerie_mods_00000047
https://www.statistischebibliothek.de/mir/receive/DESerie_mods_00000053
http://www.forschungsdatenzentrum.de/de/agrar/bodennutzung-vieh
https://www.statistischebibliothek.de/mir/receive/DESerie_mods_00000028</t>
  </si>
  <si>
    <t>https://www-genesis.destatis.de/genesis/online?operation=themes&amp;levelindex=0&amp;levelid=1600272940594&amp;code=41#abreadcrumb</t>
  </si>
  <si>
    <t>https://www.statistischebibliothek.de/mir/receive/DESerie_mods_00000307</t>
  </si>
  <si>
    <t>Denmark</t>
  </si>
  <si>
    <t>https://www.dst.dk/en/Statistik/dokumentation/documentationofstatistics/agricultural-and-horticultural-survey</t>
  </si>
  <si>
    <t>https://www.dst.dk/en/Statistik/dokumentation/documentationofstatistics?subject=11</t>
  </si>
  <si>
    <t>Spain</t>
  </si>
  <si>
    <t>https://www.ine.es/dyngs/INEbase/en/operacion.htm?c=Estadistica_C&amp;cid=1254736176854&amp;menu=publi&amp;idp=1254735727106</t>
  </si>
  <si>
    <t>https://www.ine.es/dyngs/INEbase/en/categoria.htm?c=Estadistica_P&amp;cid=1254735570567</t>
  </si>
  <si>
    <t>https://www.ine.es/dyngs/INEbase/en/operacion.htm?c=Estadistica_C&amp;cid=1254736176854&amp;menu=metodologia&amp;idp=1254735727106</t>
  </si>
  <si>
    <t>Estonia</t>
  </si>
  <si>
    <t>https://www.stat.ee/en/find-statistics/methodology-and-quality/esms-metadata/21214#3-Statistical-presentation-2</t>
  </si>
  <si>
    <t>https://www.stat.ee/en/find-statistics/methodology-and-quality/esms-metadata/21208#18-Statistical-processing-17</t>
  </si>
  <si>
    <t>https://www.stat.ee/en/find-statistics/methodology-and-quality/esms-metadata</t>
  </si>
  <si>
    <t>Finland</t>
  </si>
  <si>
    <t>http://www.stat.fi/til/mataratu/index_en.html</t>
  </si>
  <si>
    <t>France</t>
  </si>
  <si>
    <t>United Kingdom</t>
  </si>
  <si>
    <t>https://www.gov.uk/government/statistics/farm-labour-profiles-from-the-england-and-uk-farm-structure-survey</t>
  </si>
  <si>
    <t>https://ec.europa.eu/eurostat/statistics-explained/index.php/Farm_structure_survey_%E2%80%93_survey_coverage</t>
  </si>
  <si>
    <t>http://www.fao.org/fileadmin/templates/ess/ess_test_folder/World_Census_Agriculture/Country_info_2000/Methodology/UK_ENG_MET_2000.pdf</t>
  </si>
  <si>
    <t>Ireland</t>
  </si>
  <si>
    <t>https://www.cso.ie/en/methods/agricultureandfishing/cropsandlivestocksurveyjune/</t>
  </si>
  <si>
    <t>https://www.cso.ie/en/statistics/agriculture/</t>
  </si>
  <si>
    <t>https://www.cso.ie/en/statistics/agriculture/farmstructuresurvey/
https://ec.europa.eu/eurostat/statistics-explained/index.php?title=Glossary:Farm_structure_survey_(FSS)</t>
  </si>
  <si>
    <t>https://www.cso.ie/en/releasesandpublications/ep/p-clsjf/cropsandlivestocksurveyfinalresultsjune2023/</t>
  </si>
  <si>
    <t>Iceland</t>
  </si>
  <si>
    <t>https://statice.is/statistics/business-sectors/agriculture/</t>
  </si>
  <si>
    <t>https://ec.europa.eu/eurostat/cache/metadata/en/ef_esms.htm</t>
  </si>
  <si>
    <t>Israel</t>
  </si>
  <si>
    <t>Register based sources</t>
  </si>
  <si>
    <t>Italy</t>
  </si>
  <si>
    <t>http://siqual.istat.it/SIQual/visualizza.do?id=5000008&amp;refresh=true&amp;language=EN</t>
  </si>
  <si>
    <t>Japan</t>
  </si>
  <si>
    <t>https://www.maff.go.jp/e/data/stat/95th/attach/pdf/index-36.pdf</t>
  </si>
  <si>
    <t>Korea, Rep.</t>
  </si>
  <si>
    <t>http://kostat.go.kr/portal/eng/pressReleases/2/4/index.board</t>
  </si>
  <si>
    <t>http://kosis.kr/eng/statisticsList/statisticsListIndex.do?menuId=M_01_01&amp;vwcd=MT_ETITLE&amp;parmTabId=M_01_01&amp;statId=1962009&amp;themaId=#E_2.2</t>
  </si>
  <si>
    <t>Kuwait</t>
  </si>
  <si>
    <t>https://www.csb.gov.kw/Pages/Statistics_en?ID=42&amp;ParentCatID=%204</t>
  </si>
  <si>
    <t>Luxembourg</t>
  </si>
  <si>
    <t>Malta</t>
  </si>
  <si>
    <t>https://nso.gov.mt/en/nso/Sources_and_Methods/Unit_B3/Environment_Energy_Transport_and_Agriculture_Statistics/Pages/Farm-Structure-Survey.aspx</t>
  </si>
  <si>
    <t>Netherlands</t>
  </si>
  <si>
    <t>Norway</t>
  </si>
  <si>
    <t>https://www.ssb.no/en/jord-skog-jakt-og-fiskeri/statistikker/lu</t>
  </si>
  <si>
    <t>https://www.ssb.no/en/jord-skog-jakt-og-fiskeri</t>
  </si>
  <si>
    <t>New Zealand</t>
  </si>
  <si>
    <t>http://datainfoplus.stats.govt.nz/Item/nz.govt.stats/6362a469-f374-412e-ac25-d76fd0962003?_ga=2.32364350.103208402.1601484870-1420100070.1601484870#/nz.govt.stats/6362a469-f374-412e-ac25-d76fd0962003</t>
  </si>
  <si>
    <t>https://www.stats.govt.nz/help-with-surveys/list-of-stats-nz-surveys/about-the-agricultural-production-survey/</t>
  </si>
  <si>
    <t>Portugal</t>
  </si>
  <si>
    <t>https://www.ine.pt/xportal/xmain?xpid=INE&amp;xpgid=ine_publicacoes&amp;PUBLICACOESpub_boui=311060876&amp;PUBLICACOEStema=5414331&amp;PUBLICACOESmodo=2
https://ec.europa.eu/eurostat/statistics-explained/index.php/Farm_structure_survey_%E2%80%93_survey_coverage</t>
  </si>
  <si>
    <t>https://www.ine.pt/xportal/xmain?xpid=INE&amp;xpgid=ine_publicacoes&amp;PUBLICACOESpub_boui=71890064&amp;PUBLICACOEStema=5414331&amp;PUBLICACOESmodo=2</t>
  </si>
  <si>
    <t>Qatar</t>
  </si>
  <si>
    <t>Singapore</t>
  </si>
  <si>
    <t>Use of admin data sources</t>
  </si>
  <si>
    <t>Slovenia</t>
  </si>
  <si>
    <t>https://www.stat.si/StatWeb/File/DocSysFile/8048</t>
  </si>
  <si>
    <t>Sweden</t>
  </si>
  <si>
    <t>United States</t>
  </si>
  <si>
    <t>https://www.nass.usda.gov/Surveys/Guide_to_NASS_Surveys/Crops_Stocks/index.php</t>
  </si>
  <si>
    <t>https://quickstats.nass.usda.gov/results/B2906AB9-D5AA-3B93-B245-F5AD33636A03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</si>
</sst>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164" fontId="4" fillId="0" borderId="1" xfId="1" applyNumberFormat="1" applyFont="1" applyBorder="1" applyAlignment="1">
      <alignment horizontal="left"/>
    </xf>
    <xf numFmtId="0" fontId="7" fillId="0" borderId="1" xfId="0" applyFont="1" applyBorder="1"/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" xfId="1" applyFont="1" applyBorder="1" applyAlignment="1">
      <alignment horizontal="left"/>
    </xf>
    <xf numFmtId="0" fontId="0" fillId="2" borderId="0" xfId="0" applyFill="1"/>
    <xf numFmtId="0" fontId="8" fillId="3" borderId="0" xfId="1" applyFont="1" applyFill="1" applyAlignment="1">
      <alignment horizontal="left"/>
    </xf>
    <xf numFmtId="0" fontId="9" fillId="4" borderId="0" xfId="0" applyFont="1" applyFill="1"/>
    <xf numFmtId="0" fontId="7" fillId="3" borderId="1" xfId="0" applyFont="1" applyFill="1" applyBorder="1"/>
    <xf numFmtId="0" fontId="7" fillId="4" borderId="1" xfId="0" applyFont="1" applyFill="1" applyBorder="1"/>
    <xf numFmtId="164" fontId="5" fillId="0" borderId="1" xfId="1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7" fillId="0" borderId="0" xfId="0" applyFont="1"/>
    <xf numFmtId="0" fontId="0" fillId="0" borderId="0" xfId="0" applyAlignment="1">
      <alignment horizontal="left"/>
    </xf>
    <xf numFmtId="0" fontId="13" fillId="0" borderId="0" xfId="2" applyAlignment="1">
      <alignment horizontal="left"/>
    </xf>
    <xf numFmtId="0" fontId="13" fillId="0" borderId="0" xfId="2" applyFill="1" applyAlignment="1">
      <alignment horizontal="left"/>
    </xf>
    <xf numFmtId="0" fontId="7" fillId="5" borderId="1" xfId="0" applyFont="1" applyFill="1" applyBorder="1"/>
    <xf numFmtId="0" fontId="14" fillId="5" borderId="1" xfId="0" applyFont="1" applyFill="1" applyBorder="1"/>
    <xf numFmtId="0" fontId="7" fillId="6" borderId="1" xfId="0" applyFont="1" applyFill="1" applyBorder="1"/>
    <xf numFmtId="0" fontId="12" fillId="6" borderId="0" xfId="0" applyFont="1" applyFill="1"/>
    <xf numFmtId="0" fontId="13" fillId="0" borderId="1" xfId="2" applyBorder="1"/>
    <xf numFmtId="0" fontId="13" fillId="0" borderId="0" xfId="2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left"/>
    </xf>
    <xf numFmtId="0" fontId="7" fillId="0" borderId="2" xfId="0" applyFont="1" applyBorder="1"/>
    <xf numFmtId="0" fontId="7" fillId="4" borderId="2" xfId="0" applyFont="1" applyFill="1" applyBorder="1"/>
    <xf numFmtId="0" fontId="12" fillId="0" borderId="0" xfId="0" applyFont="1"/>
    <xf numFmtId="0" fontId="8" fillId="0" borderId="0" xfId="1" applyFont="1" applyAlignment="1">
      <alignment horizontal="left"/>
    </xf>
    <xf numFmtId="0" fontId="7" fillId="4" borderId="0" xfId="0" applyFont="1" applyFill="1"/>
    <xf numFmtId="0" fontId="0" fillId="0" borderId="0" xfId="0" applyAlignment="1">
      <alignment vertical="center"/>
    </xf>
    <xf numFmtId="0" fontId="0" fillId="4" borderId="0" xfId="0" applyFill="1" applyAlignment="1">
      <alignment horizontal="left"/>
    </xf>
    <xf numFmtId="0" fontId="13" fillId="2" borderId="1" xfId="2" applyFill="1" applyBorder="1"/>
    <xf numFmtId="0" fontId="3" fillId="0" borderId="0" xfId="0" applyFont="1" applyAlignment="1">
      <alignment horizontal="center" vertical="center" wrapText="1"/>
    </xf>
    <xf numFmtId="0" fontId="0" fillId="4" borderId="3" xfId="0" applyFill="1" applyBorder="1"/>
  </cellXfs>
  <cellStyles count="3">
    <cellStyle name="Hyperlink" xfId="2" builtinId="8"/>
    <cellStyle name="Normal" xfId="0" builtinId="0"/>
    <cellStyle name="Normal_cty99" xfId="1" xr:uid="{08F02558-F0F7-474A-B414-9305DACEB306}"/>
  </cellStyles>
  <dxfs count="0"/>
  <tableStyles count="0" defaultTableStyle="TableStyleMedium2" defaultPivotStyle="PivotStyleLight16"/>
  <colors>
    <mruColors>
      <color rgb="FFCC99FF"/>
      <color rgb="FFCCCCFF"/>
      <color rgb="FFFF9900"/>
      <color rgb="FFCCFFFF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estatis.de/DE/Themen/Branchen-Unternehmen/Landwirtschaft-Forstwirtschaft-Fischerei/_inhalt.html" TargetMode="External"/><Relationship Id="rId18" Type="http://schemas.openxmlformats.org/officeDocument/2006/relationships/hyperlink" Target="https://www.mof.gov.cy/mof/cystat/statistics.nsf/agriculture_51main_en/agriculture_51main_en?OpenForm&amp;sub=1&amp;sel=2" TargetMode="External"/><Relationship Id="rId26" Type="http://schemas.openxmlformats.org/officeDocument/2006/relationships/hyperlink" Target="https://www.bfs.admin.ch/bfs/fr/home/statistiques/agriculture-sylviculture/enquetes/stru.assetdetail.2041588.html" TargetMode="External"/><Relationship Id="rId39" Type="http://schemas.openxmlformats.org/officeDocument/2006/relationships/hyperlink" Target="https://ec.europa.eu/eurostat/statistics-explained/index.php?title=Glossary:Farm_structure_survey_(FSS)" TargetMode="External"/><Relationship Id="rId21" Type="http://schemas.openxmlformats.org/officeDocument/2006/relationships/hyperlink" Target="http://www.ksh.hu/agricultural_census_fss_2010" TargetMode="External"/><Relationship Id="rId34" Type="http://schemas.openxmlformats.org/officeDocument/2006/relationships/hyperlink" Target="https://www.csb.gov.kw/Pages/Statistics_en?ID=42&amp;ParentCatID=%204" TargetMode="External"/><Relationship Id="rId42" Type="http://schemas.openxmlformats.org/officeDocument/2006/relationships/hyperlink" Target="https://www.abs.gov.au/AUSSTATS/abs@.nsf/Lookup/7121.0Explanatory%20Notes12017-18?OpenDocument" TargetMode="External"/><Relationship Id="rId47" Type="http://schemas.openxmlformats.org/officeDocument/2006/relationships/hyperlink" Target="https://www.dst.dk/en/Statistik/dokumentation/documentationofstatistics?subject=11" TargetMode="External"/><Relationship Id="rId50" Type="http://schemas.openxmlformats.org/officeDocument/2006/relationships/hyperlink" Target="https://www.cso.ie/en/releasesandpublications/ep/p-clsjf/cropsandlivestocksurveyfinalresultsjune2023/" TargetMode="External"/><Relationship Id="rId7" Type="http://schemas.openxmlformats.org/officeDocument/2006/relationships/hyperlink" Target="http://datainfoplus.stats.govt.nz/Item/nz.govt.stats/6362a469-f374-412e-ac25-d76fd0962003?_ga=2.32364350.103208402.1601484870-1420100070.1601484870" TargetMode="External"/><Relationship Id="rId2" Type="http://schemas.openxmlformats.org/officeDocument/2006/relationships/hyperlink" Target="https://www.ine.es/dyngs/INEbase/en/operacion.htm?c=Estadistica_C&amp;cid=1254736176854&amp;menu=publi&amp;idp=1254735727106" TargetMode="External"/><Relationship Id="rId16" Type="http://schemas.openxmlformats.org/officeDocument/2006/relationships/hyperlink" Target="https://www.stat.ee/en/find-statistics/methodology-and-quality/esms-metadata" TargetMode="External"/><Relationship Id="rId29" Type="http://schemas.openxmlformats.org/officeDocument/2006/relationships/hyperlink" Target="https://ec.europa.eu/eurostat/statistics-explained/index.php?title=Glossary:Farm_structure_survey_(FSS)" TargetMode="External"/><Relationship Id="rId11" Type="http://schemas.openxmlformats.org/officeDocument/2006/relationships/hyperlink" Target="https://ec.europa.eu/eurostat/statistics-explained/index.php?title=Glossary:Farm_structure_survey_(FSS)" TargetMode="External"/><Relationship Id="rId24" Type="http://schemas.openxmlformats.org/officeDocument/2006/relationships/hyperlink" Target="https://statbel.fgov.be/de" TargetMode="External"/><Relationship Id="rId32" Type="http://schemas.openxmlformats.org/officeDocument/2006/relationships/hyperlink" Target="http://siqual.istat.it/SIQual/visualizza.do?id=5000008&amp;refresh=true&amp;language=EN" TargetMode="External"/><Relationship Id="rId37" Type="http://schemas.openxmlformats.org/officeDocument/2006/relationships/hyperlink" Target="https://www.nass.usda.gov/Surveys/Guide_to_NASS_Surveys/Crops_Stocks/index.php" TargetMode="External"/><Relationship Id="rId40" Type="http://schemas.openxmlformats.org/officeDocument/2006/relationships/hyperlink" Target="https://ec.europa.eu/eurostat/statistics-explained/index.php?title=Glossary:Farm_structure_survey_(FSS)" TargetMode="External"/><Relationship Id="rId45" Type="http://schemas.openxmlformats.org/officeDocument/2006/relationships/hyperlink" Target="https://ec.europa.eu/eurostat/cache/metadata/EN/ef_esqrs_be.htm" TargetMode="External"/><Relationship Id="rId53" Type="http://schemas.openxmlformats.org/officeDocument/2006/relationships/comments" Target="../comments1.xml"/><Relationship Id="rId5" Type="http://schemas.openxmlformats.org/officeDocument/2006/relationships/hyperlink" Target="http://www.stat.fi/til/mataratu/index_en.html" TargetMode="External"/><Relationship Id="rId10" Type="http://schemas.openxmlformats.org/officeDocument/2006/relationships/hyperlink" Target="http://www.statistik.at/web_de/dokumentationen/Wirtschaft/Land-undForstwirtschaft/index.html" TargetMode="External"/><Relationship Id="rId19" Type="http://schemas.openxmlformats.org/officeDocument/2006/relationships/hyperlink" Target="https://www.mof.gov.cy/mof/cystat/statistics.nsf/publications_archive_en/publications_archive_en?OpenForm&amp;OpenView&amp;RestrictToCategory=5&amp;SrcTp=1&amp;Category=0&amp;Subject=5&amp;SubSubject=1&amp;subsubtext=99&amp;" TargetMode="External"/><Relationship Id="rId31" Type="http://schemas.openxmlformats.org/officeDocument/2006/relationships/hyperlink" Target="https://statice.is/statistics/business-sectors/agriculture/" TargetMode="External"/><Relationship Id="rId44" Type="http://schemas.openxmlformats.org/officeDocument/2006/relationships/hyperlink" Target="https://www.abs.gov.au/statistics/industry/agriculture/australian-agriculture-broadacre-crops/2022-23" TargetMode="External"/><Relationship Id="rId52" Type="http://schemas.openxmlformats.org/officeDocument/2006/relationships/vmlDrawing" Target="../drawings/vmlDrawing1.vml"/><Relationship Id="rId4" Type="http://schemas.openxmlformats.org/officeDocument/2006/relationships/hyperlink" Target="https://www23.statcan.gc.ca/imdb/p2SV.pl?Function=getSurvey&amp;Id=1284254" TargetMode="External"/><Relationship Id="rId9" Type="http://schemas.openxmlformats.org/officeDocument/2006/relationships/hyperlink" Target="https://www.abs.gov.au/AUSSTATS/abs@.nsf/second+level+view?ReadForm&amp;prodno=7121.0&amp;viewtitle=Agricultural%20Commodities,%20Australia~2017-18~Previous~30/04/2019&amp;&amp;tabname=Past%20Future%20Issues&amp;prodno=7121.0&amp;issue=2017-18&amp;num=&amp;view=&amp;" TargetMode="External"/><Relationship Id="rId14" Type="http://schemas.openxmlformats.org/officeDocument/2006/relationships/hyperlink" Target="https://www-genesis.destatis.de/genesis/online?operation=themes&amp;levelindex=0&amp;levelid=1600272940594&amp;code=41" TargetMode="External"/><Relationship Id="rId22" Type="http://schemas.openxmlformats.org/officeDocument/2006/relationships/hyperlink" Target="https://www.csb.gov.lv/lv/statistika/statistikas-temas/lauksaimnieciba/lauksaimniecibas-skaitisana/struktura" TargetMode="External"/><Relationship Id="rId27" Type="http://schemas.openxmlformats.org/officeDocument/2006/relationships/hyperlink" Target="https://www.bfs.admin.ch/bfs/en/home/statistics/catalogues-databases/press-releases.assetdetail.12727134.html" TargetMode="External"/><Relationship Id="rId30" Type="http://schemas.openxmlformats.org/officeDocument/2006/relationships/hyperlink" Target="https://www.cso.ie/en/statistics/agriculture/" TargetMode="External"/><Relationship Id="rId35" Type="http://schemas.openxmlformats.org/officeDocument/2006/relationships/hyperlink" Target="https://www.ssb.no/en/jord-skog-jakt-og-fiskeri" TargetMode="External"/><Relationship Id="rId43" Type="http://schemas.openxmlformats.org/officeDocument/2006/relationships/hyperlink" Target="https://www.abs.gov.au/statistics/industry/agriculture/australian-agriculture-broadacre-crops/2022-23" TargetMode="External"/><Relationship Id="rId48" Type="http://schemas.openxmlformats.org/officeDocument/2006/relationships/hyperlink" Target="https://www.ine.es/dyngs/INEbase/en/categoria.htm?c=Estadistica_P&amp;cid=1254735570567" TargetMode="External"/><Relationship Id="rId8" Type="http://schemas.openxmlformats.org/officeDocument/2006/relationships/hyperlink" Target="https://www.stat.ee/en/find-statistics/methodology-and-quality/esms-metadata/21214" TargetMode="External"/><Relationship Id="rId51" Type="http://schemas.openxmlformats.org/officeDocument/2006/relationships/printerSettings" Target="../printerSettings/printerSettings2.bin"/><Relationship Id="rId3" Type="http://schemas.openxmlformats.org/officeDocument/2006/relationships/hyperlink" Target="https://www.gov.uk/government/statistics/farm-labour-profiles-from-the-england-and-uk-farm-structure-survey" TargetMode="External"/><Relationship Id="rId12" Type="http://schemas.openxmlformats.org/officeDocument/2006/relationships/hyperlink" Target="https://www.dst.dk/en/Statistik/dokumentation/documentationofstatistics/agricultural-and-horticultural-survey" TargetMode="External"/><Relationship Id="rId17" Type="http://schemas.openxmlformats.org/officeDocument/2006/relationships/hyperlink" Target="https://www.cso.ie/en/methods/agricultureandfishing/cropsandlivestocksurveyjune/" TargetMode="External"/><Relationship Id="rId25" Type="http://schemas.openxmlformats.org/officeDocument/2006/relationships/hyperlink" Target="http://www.statistik.at/web_en/statistics/Economy/agriculture_and_forestry/farm_structure_cultivated_area_yields/index.html" TargetMode="External"/><Relationship Id="rId33" Type="http://schemas.openxmlformats.org/officeDocument/2006/relationships/hyperlink" Target="http://kostat.go.kr/portal/eng/pressReleases/2/4/index.board" TargetMode="External"/><Relationship Id="rId38" Type="http://schemas.openxmlformats.org/officeDocument/2006/relationships/hyperlink" Target="https://quickstats.nass.usda.gov/results/B2906AB9-D5AA-3B93-B245-F5AD33636A03" TargetMode="External"/><Relationship Id="rId46" Type="http://schemas.openxmlformats.org/officeDocument/2006/relationships/hyperlink" Target="https://www23.statcan.gc.ca/imdb/p2SV.pl?Function=getInstanceList&amp;Id=140303" TargetMode="External"/><Relationship Id="rId20" Type="http://schemas.openxmlformats.org/officeDocument/2006/relationships/hyperlink" Target="https://www.statistics.gr/en/statistics/agr" TargetMode="External"/><Relationship Id="rId41" Type="http://schemas.openxmlformats.org/officeDocument/2006/relationships/hyperlink" Target="https://www.stat.gov.lt/web/lsd/paieska?q=farm%20structure%20survey" TargetMode="External"/><Relationship Id="rId1" Type="http://schemas.openxmlformats.org/officeDocument/2006/relationships/hyperlink" Target="https://www.statistischebibliothek.de/mir/receive/DESerie_mods_00000028" TargetMode="External"/><Relationship Id="rId6" Type="http://schemas.openxmlformats.org/officeDocument/2006/relationships/hyperlink" Target="https://www.ssb.no/en/jord-skog-jakt-og-fiskeri/statistikker/lu" TargetMode="External"/><Relationship Id="rId15" Type="http://schemas.openxmlformats.org/officeDocument/2006/relationships/hyperlink" Target="https://www.stat.ee/en/find-statistics/methodology-and-quality/esms-metadata/21208" TargetMode="External"/><Relationship Id="rId23" Type="http://schemas.openxmlformats.org/officeDocument/2006/relationships/hyperlink" Target="https://www.stats.gov.sa/ar/1060-0" TargetMode="External"/><Relationship Id="rId28" Type="http://schemas.openxmlformats.org/officeDocument/2006/relationships/hyperlink" Target="https://www.statistischebibliothek.de/mir/receive/DESerie_mods_00000307" TargetMode="External"/><Relationship Id="rId36" Type="http://schemas.openxmlformats.org/officeDocument/2006/relationships/hyperlink" Target="https://www.stats.govt.nz/help-with-surveys/list-of-stats-nz-surveys/about-the-agricultural-production-survey/" TargetMode="External"/><Relationship Id="rId49" Type="http://schemas.openxmlformats.org/officeDocument/2006/relationships/hyperlink" Target="https://www.ine.es/dyngs/INEbase/en/operacion.htm?c=Estadistica_C&amp;cid=1254736176854&amp;menu=metodologia&amp;idp=12547357271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DCA7-689A-4112-94CD-40D7CD7D7038}">
  <dimension ref="A1:AB192"/>
  <sheetViews>
    <sheetView workbookViewId="0">
      <selection activeCell="AB1" sqref="AB1:AB1048576"/>
    </sheetView>
  </sheetViews>
  <sheetFormatPr baseColWidth="10" defaultColWidth="8.83203125" defaultRowHeight="15" x14ac:dyDescent="0.2"/>
  <cols>
    <col min="2" max="2" width="15.5" customWidth="1"/>
  </cols>
  <sheetData>
    <row r="1" spans="1:28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2">
      <c r="A2" t="s">
        <v>26</v>
      </c>
      <c r="B2" t="s">
        <v>27</v>
      </c>
      <c r="C2" t="s">
        <v>28</v>
      </c>
    </row>
    <row r="3" spans="1:28" x14ac:dyDescent="0.2">
      <c r="A3" t="s">
        <v>29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">
      <c r="A4" t="s">
        <v>31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">
      <c r="A5" t="s">
        <v>32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">
      <c r="A6" t="s">
        <v>33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">
      <c r="A7" t="s">
        <v>34</v>
      </c>
      <c r="B7" t="s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">
      <c r="A8" t="s">
        <v>35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">
      <c r="A9" t="s">
        <v>36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">
      <c r="A10" t="s">
        <v>37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">
      <c r="A11" t="s">
        <v>38</v>
      </c>
      <c r="B11" t="s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">
      <c r="A12" t="s">
        <v>39</v>
      </c>
      <c r="B12" t="s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">
      <c r="A13" t="s">
        <v>40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">
      <c r="A14" t="s">
        <v>41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">
      <c r="A15" t="s">
        <v>42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">
      <c r="A16" t="s">
        <v>43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">
      <c r="A17" t="s">
        <v>44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">
      <c r="A18" t="s">
        <v>45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1</v>
      </c>
      <c r="P18">
        <v>0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1</v>
      </c>
      <c r="AB18">
        <v>0</v>
      </c>
    </row>
    <row r="19" spans="1:28" x14ac:dyDescent="0.2">
      <c r="A19" t="s">
        <v>46</v>
      </c>
      <c r="B19" t="s">
        <v>30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</row>
    <row r="20" spans="1:28" x14ac:dyDescent="0.2">
      <c r="A20" t="s">
        <v>47</v>
      </c>
      <c r="B20" t="s">
        <v>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</row>
    <row r="21" spans="1:28" x14ac:dyDescent="0.2">
      <c r="A21" t="s">
        <v>48</v>
      </c>
      <c r="B21" t="s">
        <v>30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">
      <c r="A22" t="s">
        <v>49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">
      <c r="A23" t="s">
        <v>50</v>
      </c>
      <c r="B23" t="s">
        <v>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">
      <c r="A24" t="s">
        <v>51</v>
      </c>
      <c r="B24" t="s">
        <v>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</row>
    <row r="25" spans="1:28" x14ac:dyDescent="0.2">
      <c r="A25" t="s">
        <v>52</v>
      </c>
      <c r="B25" t="s">
        <v>30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">
      <c r="A26" t="s">
        <v>53</v>
      </c>
      <c r="B26" t="s">
        <v>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">
      <c r="A27" t="s">
        <v>54</v>
      </c>
      <c r="B27" t="s">
        <v>30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">
      <c r="A28" t="s">
        <v>55</v>
      </c>
      <c r="B28" t="s">
        <v>30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">
      <c r="A29" t="s">
        <v>56</v>
      </c>
      <c r="B29" t="s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">
      <c r="A30" t="s">
        <v>57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>
        <v>1</v>
      </c>
      <c r="T30">
        <v>0</v>
      </c>
      <c r="U30">
        <v>1</v>
      </c>
      <c r="V30">
        <v>1</v>
      </c>
      <c r="W30">
        <v>1</v>
      </c>
      <c r="X30">
        <v>1</v>
      </c>
      <c r="Y30">
        <v>1</v>
      </c>
      <c r="Z30">
        <v>0</v>
      </c>
      <c r="AA30">
        <v>1</v>
      </c>
      <c r="AB30">
        <v>0</v>
      </c>
    </row>
    <row r="31" spans="1:28" x14ac:dyDescent="0.2">
      <c r="A31" t="s">
        <v>58</v>
      </c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">
      <c r="A32" t="s">
        <v>59</v>
      </c>
      <c r="B32" t="s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">
      <c r="A33" t="s">
        <v>60</v>
      </c>
      <c r="B33" t="s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">
      <c r="A34" t="s">
        <v>61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1</v>
      </c>
      <c r="AA34">
        <v>1</v>
      </c>
      <c r="AB34">
        <v>0</v>
      </c>
    </row>
    <row r="35" spans="1:28" x14ac:dyDescent="0.2">
      <c r="A35" t="s">
        <v>62</v>
      </c>
      <c r="B35" t="s">
        <v>30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2">
      <c r="A36" t="s">
        <v>63</v>
      </c>
      <c r="B36" t="s">
        <v>30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</row>
    <row r="37" spans="1:28" x14ac:dyDescent="0.2">
      <c r="A37" t="s">
        <v>64</v>
      </c>
      <c r="B37" t="s">
        <v>30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">
      <c r="A38" t="s">
        <v>65</v>
      </c>
      <c r="B38" t="s">
        <v>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">
      <c r="A39" t="s">
        <v>66</v>
      </c>
      <c r="B39" t="s">
        <v>30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">
      <c r="A40" t="s">
        <v>67</v>
      </c>
      <c r="B40" t="s">
        <v>30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>
        <v>0</v>
      </c>
    </row>
    <row r="41" spans="1:28" x14ac:dyDescent="0.2">
      <c r="A41" t="s">
        <v>68</v>
      </c>
      <c r="B41" t="s">
        <v>30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">
      <c r="A42" t="s">
        <v>69</v>
      </c>
      <c r="B42" t="s">
        <v>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">
      <c r="A43" t="s">
        <v>70</v>
      </c>
      <c r="B43" t="s">
        <v>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">
      <c r="A44" t="s">
        <v>71</v>
      </c>
      <c r="B44" t="s">
        <v>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">
      <c r="A45" t="s">
        <v>72</v>
      </c>
      <c r="B45" t="s">
        <v>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">
      <c r="A46" t="s">
        <v>73</v>
      </c>
      <c r="B46" t="s">
        <v>30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0</v>
      </c>
    </row>
    <row r="47" spans="1:28" x14ac:dyDescent="0.2">
      <c r="A47" t="s">
        <v>74</v>
      </c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">
      <c r="A48" t="s">
        <v>75</v>
      </c>
      <c r="B48" t="s">
        <v>30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">
      <c r="A49" t="s">
        <v>76</v>
      </c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">
      <c r="A50" t="s">
        <v>77</v>
      </c>
      <c r="B50" t="s">
        <v>30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B50">
        <v>0</v>
      </c>
    </row>
    <row r="51" spans="1:28" x14ac:dyDescent="0.2">
      <c r="A51" t="s">
        <v>78</v>
      </c>
      <c r="B51" t="s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">
      <c r="A52" t="s">
        <v>79</v>
      </c>
      <c r="B52" t="s">
        <v>30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">
      <c r="A53" t="s">
        <v>80</v>
      </c>
      <c r="B53" t="s">
        <v>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1</v>
      </c>
      <c r="AA53">
        <v>1</v>
      </c>
      <c r="AB53">
        <v>0</v>
      </c>
    </row>
    <row r="54" spans="1:28" x14ac:dyDescent="0.2">
      <c r="A54" t="s">
        <v>81</v>
      </c>
      <c r="B54" t="s">
        <v>30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">
      <c r="A55" t="s">
        <v>82</v>
      </c>
      <c r="B55" t="s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">
      <c r="A56" t="s">
        <v>83</v>
      </c>
      <c r="B56" t="s">
        <v>30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">
      <c r="A57" t="s">
        <v>84</v>
      </c>
      <c r="B57" t="s">
        <v>30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">
      <c r="A58" t="s">
        <v>85</v>
      </c>
      <c r="B58" t="s">
        <v>30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">
      <c r="A59" t="s">
        <v>86</v>
      </c>
      <c r="B59" t="s">
        <v>30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2">
      <c r="A60" t="s">
        <v>87</v>
      </c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">
      <c r="A61" t="s">
        <v>88</v>
      </c>
      <c r="B61" t="s">
        <v>30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1</v>
      </c>
      <c r="AB61">
        <v>0</v>
      </c>
    </row>
    <row r="62" spans="1:28" x14ac:dyDescent="0.2">
      <c r="A62" t="s">
        <v>89</v>
      </c>
      <c r="B62" t="s">
        <v>30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">
      <c r="A63" t="s">
        <v>90</v>
      </c>
      <c r="B63" t="s">
        <v>30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">
      <c r="A64" t="s">
        <v>91</v>
      </c>
      <c r="B64" t="s">
        <v>30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</row>
    <row r="65" spans="1:28" x14ac:dyDescent="0.2">
      <c r="A65" t="s">
        <v>92</v>
      </c>
      <c r="B65" t="s">
        <v>30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">
      <c r="A66" t="s">
        <v>93</v>
      </c>
      <c r="B66" t="s">
        <v>30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2">
      <c r="A67" t="s">
        <v>94</v>
      </c>
      <c r="B67" t="s">
        <v>30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">
      <c r="A68" t="s">
        <v>95</v>
      </c>
      <c r="B68" t="s">
        <v>30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</row>
    <row r="69" spans="1:28" x14ac:dyDescent="0.2">
      <c r="A69" t="s">
        <v>96</v>
      </c>
      <c r="B69" t="s">
        <v>30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">
      <c r="A70" t="s">
        <v>97</v>
      </c>
      <c r="B70" t="s">
        <v>30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">
      <c r="A71" t="s">
        <v>98</v>
      </c>
      <c r="B71" t="s">
        <v>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">
      <c r="A72" t="s">
        <v>99</v>
      </c>
      <c r="B72" t="s">
        <v>30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1</v>
      </c>
      <c r="T72">
        <v>0</v>
      </c>
      <c r="U72">
        <v>1</v>
      </c>
      <c r="V72">
        <v>1</v>
      </c>
      <c r="W72">
        <v>0</v>
      </c>
      <c r="X72">
        <v>1</v>
      </c>
      <c r="Y72">
        <v>1</v>
      </c>
      <c r="Z72">
        <v>1</v>
      </c>
      <c r="AA72">
        <v>0</v>
      </c>
      <c r="AB72">
        <v>0</v>
      </c>
    </row>
    <row r="73" spans="1:28" x14ac:dyDescent="0.2">
      <c r="A73" t="s">
        <v>100</v>
      </c>
      <c r="B73" t="s">
        <v>30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2">
      <c r="A74" t="s">
        <v>101</v>
      </c>
      <c r="B74" t="s">
        <v>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">
      <c r="A75" t="s">
        <v>102</v>
      </c>
      <c r="B75" t="s">
        <v>30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</row>
    <row r="76" spans="1:28" x14ac:dyDescent="0.2">
      <c r="A76" t="s">
        <v>103</v>
      </c>
      <c r="B76" t="s">
        <v>30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">
      <c r="A77" t="s">
        <v>104</v>
      </c>
      <c r="B77" t="s">
        <v>30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">
      <c r="A78" t="s">
        <v>105</v>
      </c>
      <c r="B78" t="s">
        <v>30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2">
      <c r="A79" t="s">
        <v>106</v>
      </c>
      <c r="B79" t="s">
        <v>30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">
      <c r="A80" t="s">
        <v>107</v>
      </c>
      <c r="B80" t="s">
        <v>30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</row>
    <row r="81" spans="1:28" x14ac:dyDescent="0.2">
      <c r="A81" t="s">
        <v>108</v>
      </c>
      <c r="B81" t="s">
        <v>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">
      <c r="A82" t="s">
        <v>109</v>
      </c>
      <c r="B82" t="s">
        <v>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">
      <c r="A83" t="s">
        <v>110</v>
      </c>
      <c r="B83" t="s">
        <v>30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2">
      <c r="A84" t="s">
        <v>111</v>
      </c>
      <c r="B84" t="s">
        <v>30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</v>
      </c>
      <c r="W84">
        <v>0</v>
      </c>
      <c r="X84">
        <v>0</v>
      </c>
      <c r="Y84">
        <v>1</v>
      </c>
      <c r="Z84">
        <v>0</v>
      </c>
      <c r="AA84">
        <v>1</v>
      </c>
      <c r="AB84">
        <v>0</v>
      </c>
    </row>
    <row r="85" spans="1:28" x14ac:dyDescent="0.2">
      <c r="A85" t="s">
        <v>112</v>
      </c>
      <c r="B85" t="s">
        <v>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2">
      <c r="A86" t="s">
        <v>113</v>
      </c>
      <c r="B86" t="s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">
      <c r="A87" t="s">
        <v>114</v>
      </c>
      <c r="B87" t="s">
        <v>30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2">
      <c r="A88" t="s">
        <v>115</v>
      </c>
      <c r="B88" t="s">
        <v>30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</row>
    <row r="89" spans="1:28" x14ac:dyDescent="0.2">
      <c r="A89" t="s">
        <v>116</v>
      </c>
      <c r="B89" t="s">
        <v>30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2">
      <c r="A90" t="s">
        <v>117</v>
      </c>
      <c r="B90" t="s">
        <v>30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2">
      <c r="A91" t="s">
        <v>118</v>
      </c>
      <c r="B91" t="s">
        <v>30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2">
      <c r="A92" t="s">
        <v>119</v>
      </c>
      <c r="B92" t="s">
        <v>30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2">
      <c r="A93" t="s">
        <v>120</v>
      </c>
      <c r="B93" t="s">
        <v>30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2">
      <c r="A94" t="s">
        <v>121</v>
      </c>
      <c r="B94" t="s">
        <v>30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">
      <c r="A95" t="s">
        <v>122</v>
      </c>
      <c r="B95" t="s">
        <v>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2">
      <c r="A96" t="s">
        <v>123</v>
      </c>
      <c r="B96" t="s">
        <v>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">
      <c r="A97" t="s">
        <v>124</v>
      </c>
      <c r="B97" t="s">
        <v>30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2">
      <c r="A98" t="s">
        <v>125</v>
      </c>
      <c r="B98" t="s">
        <v>30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">
      <c r="A99" t="s">
        <v>126</v>
      </c>
      <c r="B99" t="s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2">
      <c r="A100" t="s">
        <v>127</v>
      </c>
      <c r="B100" t="s">
        <v>30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2">
      <c r="A101" t="s">
        <v>128</v>
      </c>
      <c r="B101" t="s">
        <v>30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2">
      <c r="A102" t="s">
        <v>129</v>
      </c>
      <c r="B102" t="s">
        <v>30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2">
      <c r="A103" t="s">
        <v>130</v>
      </c>
      <c r="B103" t="s">
        <v>30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0</v>
      </c>
      <c r="AB103">
        <v>0</v>
      </c>
    </row>
    <row r="104" spans="1:28" x14ac:dyDescent="0.2">
      <c r="A104" t="s">
        <v>131</v>
      </c>
      <c r="B104" t="s">
        <v>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1</v>
      </c>
      <c r="Z104">
        <v>0</v>
      </c>
      <c r="AA104">
        <v>0</v>
      </c>
      <c r="AB104">
        <v>0</v>
      </c>
    </row>
    <row r="105" spans="1:28" x14ac:dyDescent="0.2">
      <c r="A105" t="s">
        <v>132</v>
      </c>
      <c r="B105" t="s">
        <v>30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</row>
    <row r="106" spans="1:28" x14ac:dyDescent="0.2">
      <c r="A106" t="s">
        <v>133</v>
      </c>
      <c r="B106" t="s">
        <v>30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</row>
    <row r="107" spans="1:28" x14ac:dyDescent="0.2">
      <c r="A107" t="s">
        <v>134</v>
      </c>
      <c r="B107" t="s">
        <v>30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2">
      <c r="A108" t="s">
        <v>135</v>
      </c>
      <c r="B108" t="s">
        <v>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0</v>
      </c>
    </row>
    <row r="109" spans="1:28" x14ac:dyDescent="0.2">
      <c r="A109" t="s">
        <v>136</v>
      </c>
      <c r="B109" t="s">
        <v>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">
      <c r="A110" t="s">
        <v>137</v>
      </c>
      <c r="B110" t="s">
        <v>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">
      <c r="A111" t="s">
        <v>138</v>
      </c>
      <c r="B111" t="s">
        <v>30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1</v>
      </c>
      <c r="Z111">
        <v>1</v>
      </c>
      <c r="AA111">
        <v>0</v>
      </c>
      <c r="AB111">
        <v>0</v>
      </c>
    </row>
    <row r="112" spans="1:28" x14ac:dyDescent="0.2">
      <c r="A112" t="s">
        <v>139</v>
      </c>
      <c r="B112" t="s">
        <v>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</row>
    <row r="113" spans="1:28" x14ac:dyDescent="0.2">
      <c r="A113" t="s">
        <v>140</v>
      </c>
      <c r="B113" t="s">
        <v>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2">
      <c r="A114" t="s">
        <v>141</v>
      </c>
      <c r="B114" t="s">
        <v>30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2">
      <c r="A115" t="s">
        <v>142</v>
      </c>
      <c r="B115" t="s">
        <v>30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2">
      <c r="A116" t="s">
        <v>143</v>
      </c>
      <c r="B116" t="s">
        <v>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2">
      <c r="A117" t="s">
        <v>144</v>
      </c>
      <c r="B117" t="s">
        <v>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</row>
    <row r="118" spans="1:28" x14ac:dyDescent="0.2">
      <c r="A118" t="s">
        <v>145</v>
      </c>
      <c r="B118" t="s">
        <v>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">
      <c r="A119" t="s">
        <v>146</v>
      </c>
      <c r="B119" t="s">
        <v>30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</row>
    <row r="120" spans="1:28" x14ac:dyDescent="0.2">
      <c r="A120" t="s">
        <v>147</v>
      </c>
      <c r="B120" t="s">
        <v>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2">
      <c r="A121" t="s">
        <v>148</v>
      </c>
      <c r="B121" t="s">
        <v>30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2">
      <c r="A122" t="s">
        <v>149</v>
      </c>
      <c r="B122" t="s">
        <v>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2">
      <c r="A123" t="s">
        <v>150</v>
      </c>
      <c r="B123" t="s">
        <v>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2">
      <c r="A124" t="s">
        <v>151</v>
      </c>
      <c r="B124" t="s">
        <v>30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2">
      <c r="A125" t="s">
        <v>152</v>
      </c>
      <c r="B125" t="s">
        <v>30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">
      <c r="A126" t="s">
        <v>153</v>
      </c>
      <c r="B126" t="s">
        <v>30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2">
      <c r="A127" t="s">
        <v>154</v>
      </c>
      <c r="B127" t="s">
        <v>30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</row>
    <row r="128" spans="1:28" x14ac:dyDescent="0.2">
      <c r="A128" t="s">
        <v>155</v>
      </c>
      <c r="B128" t="s">
        <v>30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2">
      <c r="A129" t="s">
        <v>156</v>
      </c>
      <c r="B129" t="s">
        <v>30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2">
      <c r="A130" t="s">
        <v>157</v>
      </c>
      <c r="B130" t="s">
        <v>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2">
      <c r="A131" t="s">
        <v>158</v>
      </c>
      <c r="B131" t="s">
        <v>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2">
      <c r="A132" t="s">
        <v>159</v>
      </c>
      <c r="B132" t="s">
        <v>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2">
      <c r="A133" t="s">
        <v>160</v>
      </c>
      <c r="B133" t="s">
        <v>30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2">
      <c r="A134" t="s">
        <v>161</v>
      </c>
      <c r="B134" t="s">
        <v>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</row>
    <row r="135" spans="1:28" x14ac:dyDescent="0.2">
      <c r="A135" t="s">
        <v>162</v>
      </c>
      <c r="B135" t="s">
        <v>30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2">
      <c r="A136" t="s">
        <v>163</v>
      </c>
      <c r="B136" t="s">
        <v>30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2">
      <c r="A137" t="s">
        <v>164</v>
      </c>
      <c r="B137" t="s">
        <v>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</row>
    <row r="138" spans="1:28" x14ac:dyDescent="0.2">
      <c r="A138" t="s">
        <v>165</v>
      </c>
      <c r="B138" t="s">
        <v>30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2">
      <c r="A139" t="s">
        <v>166</v>
      </c>
      <c r="B139" t="s">
        <v>30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2">
      <c r="A140" t="s">
        <v>167</v>
      </c>
      <c r="B140" t="s">
        <v>30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2">
      <c r="A141" t="s">
        <v>168</v>
      </c>
      <c r="B141" t="s">
        <v>30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2">
      <c r="A142" t="s">
        <v>169</v>
      </c>
      <c r="B142" t="s">
        <v>30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2">
      <c r="A143" t="s">
        <v>170</v>
      </c>
      <c r="B143" t="s">
        <v>30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2">
      <c r="A144" t="s">
        <v>171</v>
      </c>
      <c r="B144" t="s">
        <v>30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2">
      <c r="A145" t="s">
        <v>172</v>
      </c>
      <c r="B145" t="s">
        <v>30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2">
      <c r="A146" t="s">
        <v>173</v>
      </c>
      <c r="B146" t="s">
        <v>30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</row>
    <row r="147" spans="1:28" x14ac:dyDescent="0.2">
      <c r="A147" t="s">
        <v>174</v>
      </c>
      <c r="B147" t="s">
        <v>30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2">
      <c r="A148" t="s">
        <v>175</v>
      </c>
      <c r="B148" t="s">
        <v>30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">
      <c r="A149" t="s">
        <v>176</v>
      </c>
      <c r="B149" t="s">
        <v>30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2">
      <c r="A150" t="s">
        <v>177</v>
      </c>
      <c r="B150" t="s">
        <v>30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</row>
    <row r="151" spans="1:28" x14ac:dyDescent="0.2">
      <c r="A151" t="s">
        <v>178</v>
      </c>
      <c r="B151" t="s">
        <v>30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2</v>
      </c>
      <c r="L151">
        <v>1</v>
      </c>
      <c r="M151">
        <v>2</v>
      </c>
      <c r="N151">
        <v>1</v>
      </c>
      <c r="O151">
        <v>2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2</v>
      </c>
      <c r="V151">
        <v>1</v>
      </c>
      <c r="W151">
        <v>1</v>
      </c>
      <c r="X151">
        <v>2</v>
      </c>
      <c r="Y151">
        <v>1</v>
      </c>
      <c r="Z151">
        <v>1</v>
      </c>
      <c r="AA151">
        <v>0</v>
      </c>
      <c r="AB151">
        <v>0</v>
      </c>
    </row>
    <row r="152" spans="1:28" x14ac:dyDescent="0.2">
      <c r="A152" t="s">
        <v>179</v>
      </c>
      <c r="B152" t="s">
        <v>30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</row>
    <row r="153" spans="1:28" x14ac:dyDescent="0.2">
      <c r="A153" t="s">
        <v>180</v>
      </c>
      <c r="B153" t="s">
        <v>30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</row>
    <row r="154" spans="1:28" x14ac:dyDescent="0.2">
      <c r="A154" t="s">
        <v>181</v>
      </c>
      <c r="B154" t="s">
        <v>30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</row>
    <row r="155" spans="1:28" x14ac:dyDescent="0.2">
      <c r="A155" t="s">
        <v>182</v>
      </c>
      <c r="B155" t="s">
        <v>30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2">
      <c r="A156" t="s">
        <v>183</v>
      </c>
      <c r="B156" t="s">
        <v>30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1</v>
      </c>
      <c r="AB156">
        <v>0</v>
      </c>
    </row>
    <row r="157" spans="1:28" x14ac:dyDescent="0.2">
      <c r="A157" t="s">
        <v>184</v>
      </c>
      <c r="B157" t="s">
        <v>30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</row>
    <row r="158" spans="1:28" x14ac:dyDescent="0.2">
      <c r="A158" t="s">
        <v>185</v>
      </c>
      <c r="B158" t="s">
        <v>30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">
      <c r="A159" t="s">
        <v>186</v>
      </c>
      <c r="B159" t="s">
        <v>30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2">
      <c r="A160" t="s">
        <v>187</v>
      </c>
      <c r="B160" t="s">
        <v>30</v>
      </c>
      <c r="C160">
        <v>0</v>
      </c>
      <c r="D160">
        <v>0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0</v>
      </c>
      <c r="AB160">
        <v>0</v>
      </c>
    </row>
    <row r="161" spans="1:28" x14ac:dyDescent="0.2">
      <c r="A161" t="s">
        <v>188</v>
      </c>
      <c r="B161" t="s">
        <v>30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</row>
    <row r="162" spans="1:28" x14ac:dyDescent="0.2">
      <c r="A162" t="s">
        <v>189</v>
      </c>
      <c r="B162" t="s">
        <v>30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2">
      <c r="A163" t="s">
        <v>190</v>
      </c>
      <c r="B163" t="s">
        <v>30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2">
      <c r="A164" t="s">
        <v>191</v>
      </c>
      <c r="B164" t="s">
        <v>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2">
      <c r="A165" t="s">
        <v>192</v>
      </c>
      <c r="B165" t="s">
        <v>30</v>
      </c>
      <c r="C165">
        <v>0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</row>
    <row r="166" spans="1:28" x14ac:dyDescent="0.2">
      <c r="A166" t="s">
        <v>193</v>
      </c>
      <c r="B166" t="s">
        <v>30</v>
      </c>
      <c r="C166">
        <v>0</v>
      </c>
      <c r="D166">
        <v>0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0</v>
      </c>
    </row>
    <row r="167" spans="1:28" x14ac:dyDescent="0.2">
      <c r="A167" t="s">
        <v>194</v>
      </c>
      <c r="B167" t="s">
        <v>30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0</v>
      </c>
    </row>
    <row r="168" spans="1:28" x14ac:dyDescent="0.2">
      <c r="A168" t="s">
        <v>195</v>
      </c>
      <c r="B168" t="s">
        <v>30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0</v>
      </c>
      <c r="AB168">
        <v>0</v>
      </c>
    </row>
    <row r="169" spans="1:28" x14ac:dyDescent="0.2">
      <c r="A169" t="s">
        <v>196</v>
      </c>
      <c r="B169" t="s">
        <v>30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0</v>
      </c>
    </row>
    <row r="170" spans="1:28" x14ac:dyDescent="0.2">
      <c r="A170" t="s">
        <v>197</v>
      </c>
      <c r="B170" t="s">
        <v>30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</row>
    <row r="171" spans="1:28" x14ac:dyDescent="0.2">
      <c r="A171" t="s">
        <v>198</v>
      </c>
      <c r="B171" t="s">
        <v>30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0</v>
      </c>
    </row>
    <row r="172" spans="1:28" x14ac:dyDescent="0.2">
      <c r="A172" t="s">
        <v>199</v>
      </c>
      <c r="B172" t="s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</row>
    <row r="173" spans="1:28" x14ac:dyDescent="0.2">
      <c r="A173" t="s">
        <v>200</v>
      </c>
      <c r="B173" t="s">
        <v>30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</row>
    <row r="174" spans="1:28" x14ac:dyDescent="0.2">
      <c r="A174" t="s">
        <v>201</v>
      </c>
      <c r="B174" t="s">
        <v>30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</row>
    <row r="175" spans="1:28" x14ac:dyDescent="0.2">
      <c r="A175" t="s">
        <v>202</v>
      </c>
      <c r="B175" t="s">
        <v>30</v>
      </c>
      <c r="C175">
        <v>0</v>
      </c>
      <c r="D175">
        <v>1</v>
      </c>
      <c r="E175">
        <v>1</v>
      </c>
      <c r="F175">
        <v>1</v>
      </c>
      <c r="G175">
        <v>0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0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0</v>
      </c>
    </row>
    <row r="176" spans="1:28" x14ac:dyDescent="0.2">
      <c r="A176" t="s">
        <v>203</v>
      </c>
      <c r="B176" t="s">
        <v>30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</row>
    <row r="177" spans="1:28" x14ac:dyDescent="0.2">
      <c r="A177" t="s">
        <v>204</v>
      </c>
      <c r="B177" t="s">
        <v>30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">
      <c r="A178" t="s">
        <v>205</v>
      </c>
      <c r="B178" t="s">
        <v>30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</row>
    <row r="179" spans="1:28" x14ac:dyDescent="0.2">
      <c r="A179" t="s">
        <v>206</v>
      </c>
      <c r="B179" t="s">
        <v>30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2">
      <c r="A180" t="s">
        <v>207</v>
      </c>
      <c r="B180" t="s">
        <v>30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0</v>
      </c>
    </row>
    <row r="181" spans="1:28" x14ac:dyDescent="0.2">
      <c r="A181" t="s">
        <v>208</v>
      </c>
      <c r="B181" t="s">
        <v>30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0</v>
      </c>
      <c r="Z181">
        <v>1</v>
      </c>
      <c r="AA181">
        <v>0</v>
      </c>
      <c r="AB181">
        <v>0</v>
      </c>
    </row>
    <row r="182" spans="1:28" x14ac:dyDescent="0.2">
      <c r="A182" t="s">
        <v>209</v>
      </c>
      <c r="B182" t="s">
        <v>30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2">
      <c r="A183" t="s">
        <v>210</v>
      </c>
      <c r="B183" t="s">
        <v>30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</row>
    <row r="184" spans="1:28" x14ac:dyDescent="0.2">
      <c r="A184" t="s">
        <v>211</v>
      </c>
      <c r="B184" t="s">
        <v>30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">
      <c r="A185" t="s">
        <v>212</v>
      </c>
      <c r="B185" t="s">
        <v>30</v>
      </c>
      <c r="C185">
        <v>0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</row>
    <row r="186" spans="1:28" x14ac:dyDescent="0.2">
      <c r="A186" t="s">
        <v>213</v>
      </c>
      <c r="B186" t="s">
        <v>30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1</v>
      </c>
      <c r="V186">
        <v>1</v>
      </c>
      <c r="W186">
        <v>1</v>
      </c>
      <c r="X186">
        <v>1</v>
      </c>
      <c r="Y186">
        <v>0</v>
      </c>
      <c r="Z186">
        <v>1</v>
      </c>
      <c r="AA186">
        <v>1</v>
      </c>
      <c r="AB186">
        <v>1</v>
      </c>
    </row>
    <row r="187" spans="1:28" x14ac:dyDescent="0.2">
      <c r="A187" t="s">
        <v>214</v>
      </c>
      <c r="B187" t="s">
        <v>30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</row>
    <row r="188" spans="1:28" x14ac:dyDescent="0.2">
      <c r="A188" t="s">
        <v>215</v>
      </c>
      <c r="B188" t="s">
        <v>30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2">
      <c r="A189" t="s">
        <v>216</v>
      </c>
      <c r="B189" t="s">
        <v>30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2">
      <c r="A190" t="s">
        <v>217</v>
      </c>
      <c r="B190" t="s">
        <v>30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</row>
    <row r="191" spans="1:28" x14ac:dyDescent="0.2">
      <c r="A191" t="s">
        <v>218</v>
      </c>
      <c r="B191" t="s">
        <v>30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</row>
    <row r="192" spans="1:28" x14ac:dyDescent="0.2">
      <c r="A192" t="s">
        <v>219</v>
      </c>
      <c r="B192" t="s">
        <v>30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</row>
  </sheetData>
  <phoneticPr fontId="15" type="noConversion"/>
  <pageMargins left="0.7" right="0.7" top="0.75" bottom="0.75" header="0.3" footer="0.3"/>
  <pageSetup orientation="portrait" r:id="rId1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04A5-0424-4E73-9674-9A43DCFB8F0B}">
  <dimension ref="A1:BJ193"/>
  <sheetViews>
    <sheetView tabSelected="1" zoomScaleNormal="100" workbookViewId="0">
      <pane xSplit="3" ySplit="3" topLeftCell="AB157" activePane="bottomRight" state="frozen"/>
      <selection pane="topRight" activeCell="D1" sqref="D1"/>
      <selection pane="bottomLeft" activeCell="A4" sqref="A4"/>
      <selection pane="bottomRight" activeCell="AG194" sqref="AG194"/>
    </sheetView>
  </sheetViews>
  <sheetFormatPr baseColWidth="10" defaultColWidth="8.83203125" defaultRowHeight="15" x14ac:dyDescent="0.2"/>
  <cols>
    <col min="1" max="1" width="4.1640625" style="1" customWidth="1"/>
    <col min="2" max="2" width="8.5" style="2" bestFit="1" customWidth="1"/>
    <col min="3" max="3" width="12.5" style="2" customWidth="1"/>
    <col min="4" max="5" width="9.5" style="2" hidden="1" customWidth="1"/>
    <col min="6" max="27" width="0" hidden="1" customWidth="1"/>
    <col min="34" max="34" width="135.5" bestFit="1" customWidth="1"/>
    <col min="35" max="35" width="31.1640625" customWidth="1"/>
  </cols>
  <sheetData>
    <row r="1" spans="1:34" x14ac:dyDescent="0.2">
      <c r="D1" s="16" t="s">
        <v>220</v>
      </c>
      <c r="E1" s="43"/>
      <c r="F1" s="17" t="s">
        <v>221</v>
      </c>
      <c r="G1" s="42"/>
    </row>
    <row r="2" spans="1:34" x14ac:dyDescent="0.2">
      <c r="B2" s="1">
        <v>1</v>
      </c>
      <c r="C2" s="1">
        <f>+B2+1</f>
        <v>2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  <c r="Y2" s="1">
        <v>25</v>
      </c>
      <c r="Z2" s="1">
        <v>24</v>
      </c>
      <c r="AA2" s="1">
        <v>25</v>
      </c>
      <c r="AB2" s="1"/>
      <c r="AC2" s="1"/>
      <c r="AD2" s="1"/>
      <c r="AE2" s="1"/>
      <c r="AF2" s="1"/>
      <c r="AG2" s="1"/>
      <c r="AH2" s="1"/>
    </row>
    <row r="3" spans="1:34" x14ac:dyDescent="0.2">
      <c r="A3" s="3" t="s">
        <v>222</v>
      </c>
      <c r="B3" s="4" t="s">
        <v>26</v>
      </c>
      <c r="C3" s="4" t="s">
        <v>223</v>
      </c>
      <c r="D3" s="4">
        <v>1996</v>
      </c>
      <c r="E3" s="4">
        <v>1997</v>
      </c>
      <c r="F3" s="4">
        <v>1998</v>
      </c>
      <c r="G3" s="4">
        <v>1999</v>
      </c>
      <c r="H3" s="4">
        <v>2000</v>
      </c>
      <c r="I3" s="4">
        <v>2001</v>
      </c>
      <c r="J3" s="4">
        <v>2002</v>
      </c>
      <c r="K3" s="4">
        <v>2003</v>
      </c>
      <c r="L3" s="4">
        <v>2004</v>
      </c>
      <c r="M3" s="4">
        <v>2005</v>
      </c>
      <c r="N3" s="4">
        <v>2006</v>
      </c>
      <c r="O3" s="4">
        <v>2007</v>
      </c>
      <c r="P3" s="4">
        <v>2008</v>
      </c>
      <c r="Q3" s="4">
        <v>2009</v>
      </c>
      <c r="R3" s="4">
        <v>2010</v>
      </c>
      <c r="S3" s="4">
        <v>2011</v>
      </c>
      <c r="T3" s="4">
        <v>2012</v>
      </c>
      <c r="U3" s="4">
        <v>2013</v>
      </c>
      <c r="V3" s="4">
        <v>2014</v>
      </c>
      <c r="W3" s="4">
        <v>2015</v>
      </c>
      <c r="X3" s="4">
        <v>2016</v>
      </c>
      <c r="Y3" s="4">
        <v>2017</v>
      </c>
      <c r="Z3" s="4">
        <v>2018</v>
      </c>
      <c r="AA3" s="4">
        <v>2019</v>
      </c>
      <c r="AB3" s="4">
        <v>2020</v>
      </c>
      <c r="AC3" s="4">
        <v>2021</v>
      </c>
      <c r="AD3" s="4">
        <v>2022</v>
      </c>
      <c r="AE3" s="48">
        <v>2023</v>
      </c>
      <c r="AF3" s="48">
        <v>2024</v>
      </c>
      <c r="AG3" s="48">
        <v>2025</v>
      </c>
      <c r="AH3" s="42" t="s">
        <v>224</v>
      </c>
    </row>
    <row r="4" spans="1:34" x14ac:dyDescent="0.2">
      <c r="A4" s="5">
        <v>1</v>
      </c>
      <c r="B4" s="6" t="s">
        <v>29</v>
      </c>
      <c r="C4" s="7" t="s">
        <v>225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40">
        <v>0</v>
      </c>
      <c r="AB4" s="8">
        <v>0</v>
      </c>
      <c r="AC4" s="27">
        <v>0</v>
      </c>
      <c r="AD4" s="27">
        <v>0</v>
      </c>
      <c r="AE4" s="46"/>
      <c r="AF4" s="46"/>
      <c r="AG4" s="46"/>
      <c r="AH4" s="27" t="str">
        <f>+IF($D4=1,RIGHT(D$3,4)&amp;", ","")&amp;IF($E4=1,RIGHT(E$3,4)&amp;", ","")&amp;IF($F4=1,RIGHT(F$3,4)&amp;", ","")&amp;IF($G4=1,RIGHT(G$3,4)&amp;", ","")&amp;IF($H4=1,RIGHT(H$3,4)&amp;", ","")&amp;IF($I4=1,RIGHT(I$3,4)&amp;", ","")&amp;IF($J4=1,RIGHT(J$3,4)&amp;", ","")&amp;IF($K4=1,RIGHT(K$3,4)&amp;", ","")&amp;IF($L4=1,RIGHT(L$3,4)&amp;", ","")&amp;IF($M4=1,RIGHT(M$3,4)&amp;", ","")&amp;IF($N4=1,RIGHT(N$3,4)&amp;", ","")&amp;IF($O4=1,RIGHT(O$3,4)&amp;", ","")&amp;IF($P4=1,RIGHT(P$3,4)&amp;", ","")&amp;IF($Q4=1,RIGHT(Q$3,4)&amp;", ","")&amp;IF($R4=1,RIGHT(R$3,4)&amp;", ","")&amp;IF($S4=1,RIGHT(S$3,4)&amp;", ","")&amp;IF($T4=1,RIGHT(T$3,4)&amp;", ","")&amp;IF($U4=1,RIGHT(U$3,4)&amp;", ","")&amp;IF($V4=1,RIGHT(V$3,4)&amp;", ","")&amp;IF($W4=1,RIGHT(W$3,4)&amp;", ","")&amp;IF($X4=1,RIGHT(X$3,4)&amp;", ","")&amp;IF($Y4=1,RIGHT(Y$3,4)&amp;", ","")&amp;IF($Z4=1, RIGHT(Z$3,4)&amp;", ", "")&amp;IF($AA4=1, RIGHT(AA$3,4)&amp;", ", "")&amp;IF($AB4=1, RIGHT(AB$3,4)&amp;", ", "") &amp;IF($AC4=1, RIGHT(AC$3,4)&amp;", ", "") &amp;IF($AD4=1, RIGHT(AD$3,4)&amp;", ", "")&amp;IF($AE4=1, RIGHT(AE$3,4)&amp;", ", "")&amp;IF($AF4=1, RIGHT(AF$3,4)&amp;", ", "")&amp;IF($AG4=1, RIGHT(AG$3,4)&amp;", ", "")</f>
        <v/>
      </c>
    </row>
    <row r="5" spans="1:34" x14ac:dyDescent="0.2">
      <c r="A5" s="5">
        <v>2</v>
      </c>
      <c r="B5" s="6" t="s">
        <v>31</v>
      </c>
      <c r="C5" s="7" t="s">
        <v>226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40">
        <v>0</v>
      </c>
      <c r="AB5" s="8">
        <v>0</v>
      </c>
      <c r="AC5" s="27"/>
      <c r="AD5" s="27"/>
      <c r="AE5" s="46"/>
      <c r="AF5" s="46"/>
      <c r="AG5" s="46"/>
      <c r="AH5" s="27" t="str">
        <f t="shared" ref="AH5:AH68" si="0">+IF($D5=1,RIGHT(D$3,4)&amp;", ","")&amp;IF($E5=1,RIGHT(E$3,4)&amp;", ","")&amp;IF($F5=1,RIGHT(F$3,4)&amp;", ","")&amp;IF($G5=1,RIGHT(G$3,4)&amp;", ","")&amp;IF($H5=1,RIGHT(H$3,4)&amp;", ","")&amp;IF($I5=1,RIGHT(I$3,4)&amp;", ","")&amp;IF($J5=1,RIGHT(J$3,4)&amp;", ","")&amp;IF($K5=1,RIGHT(K$3,4)&amp;", ","")&amp;IF($L5=1,RIGHT(L$3,4)&amp;", ","")&amp;IF($M5=1,RIGHT(M$3,4)&amp;", ","")&amp;IF($N5=1,RIGHT(N$3,4)&amp;", ","")&amp;IF($O5=1,RIGHT(O$3,4)&amp;", ","")&amp;IF($P5=1,RIGHT(P$3,4)&amp;", ","")&amp;IF($Q5=1,RIGHT(Q$3,4)&amp;", ","")&amp;IF($R5=1,RIGHT(R$3,4)&amp;", ","")&amp;IF($S5=1,RIGHT(S$3,4)&amp;", ","")&amp;IF($T5=1,RIGHT(T$3,4)&amp;", ","")&amp;IF($U5=1,RIGHT(U$3,4)&amp;", ","")&amp;IF($V5=1,RIGHT(V$3,4)&amp;", ","")&amp;IF($W5=1,RIGHT(W$3,4)&amp;", ","")&amp;IF($X5=1,RIGHT(X$3,4)&amp;", ","")&amp;IF($Y5=1,RIGHT(Y$3,4)&amp;", ","")&amp;IF($Z5=1, RIGHT(Z$3,4)&amp;", ", "")&amp;IF($AA5=1, RIGHT(AA$3,4)&amp;", ", "")&amp;IF($AB5=1, RIGHT(AB$3,4)&amp;", ", "") &amp;IF($AC5=1, RIGHT(AC$3,4)&amp;", ", "") &amp;IF($AD5=1, RIGHT(AD$3,4)&amp;", ", "")&amp;IF($AE5=1, RIGHT(AE$3,4)&amp;", ", "")&amp;IF($AF5=1, RIGHT(AF$3,4)&amp;", ", "")&amp;IF($AG5=1, RIGHT(AG$3,4)&amp;", ", "")</f>
        <v/>
      </c>
    </row>
    <row r="6" spans="1:34" x14ac:dyDescent="0.2">
      <c r="A6" s="5">
        <v>3</v>
      </c>
      <c r="B6" s="6" t="s">
        <v>32</v>
      </c>
      <c r="C6" s="7" t="s">
        <v>227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40">
        <v>0</v>
      </c>
      <c r="AB6" s="8">
        <v>0</v>
      </c>
      <c r="AC6" s="27"/>
      <c r="AD6" s="27"/>
      <c r="AE6" s="46"/>
      <c r="AF6" s="46"/>
      <c r="AG6" s="46"/>
      <c r="AH6" s="27" t="str">
        <f t="shared" si="0"/>
        <v/>
      </c>
    </row>
    <row r="7" spans="1:34" x14ac:dyDescent="0.2">
      <c r="A7" s="5">
        <v>4</v>
      </c>
      <c r="B7" s="9" t="s">
        <v>33</v>
      </c>
      <c r="C7" s="10" t="s">
        <v>228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40">
        <v>0</v>
      </c>
      <c r="AB7" s="8">
        <v>0</v>
      </c>
      <c r="AC7" s="27"/>
      <c r="AD7" s="27"/>
      <c r="AE7" s="46"/>
      <c r="AF7" s="46"/>
      <c r="AG7" s="46"/>
      <c r="AH7" s="27" t="str">
        <f t="shared" si="0"/>
        <v/>
      </c>
    </row>
    <row r="8" spans="1:34" x14ac:dyDescent="0.2">
      <c r="A8" s="5">
        <v>5</v>
      </c>
      <c r="B8" s="9" t="s">
        <v>34</v>
      </c>
      <c r="C8" s="10" t="s">
        <v>229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40">
        <v>0</v>
      </c>
      <c r="AB8" s="8">
        <v>0</v>
      </c>
      <c r="AC8" s="27"/>
      <c r="AD8" s="27"/>
      <c r="AE8" s="46"/>
      <c r="AF8" s="46"/>
      <c r="AG8" s="46"/>
      <c r="AH8" s="27" t="str">
        <f t="shared" si="0"/>
        <v/>
      </c>
    </row>
    <row r="9" spans="1:34" x14ac:dyDescent="0.2">
      <c r="A9" s="5">
        <v>6</v>
      </c>
      <c r="B9" s="6" t="s">
        <v>35</v>
      </c>
      <c r="C9" s="7" t="s">
        <v>230</v>
      </c>
      <c r="D9" s="8">
        <v>0</v>
      </c>
      <c r="E9" s="8">
        <v>0</v>
      </c>
      <c r="F9" s="8">
        <v>0</v>
      </c>
      <c r="G9" s="8">
        <v>0</v>
      </c>
      <c r="H9" s="19">
        <v>1</v>
      </c>
      <c r="I9" s="19">
        <v>1</v>
      </c>
      <c r="J9" s="8">
        <v>0</v>
      </c>
      <c r="K9" s="8">
        <v>0</v>
      </c>
      <c r="L9" s="8">
        <v>0</v>
      </c>
      <c r="M9" s="19">
        <v>1</v>
      </c>
      <c r="N9" s="8">
        <v>0</v>
      </c>
      <c r="O9" s="19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40">
        <v>0</v>
      </c>
      <c r="AB9" s="8">
        <v>0</v>
      </c>
      <c r="AC9" s="27"/>
      <c r="AD9" s="27"/>
      <c r="AE9" s="46"/>
      <c r="AF9" s="46"/>
      <c r="AG9" s="46"/>
      <c r="AH9" s="27" t="str">
        <f t="shared" si="0"/>
        <v xml:space="preserve">2000, 2001, 2005, 2007, </v>
      </c>
    </row>
    <row r="10" spans="1:34" x14ac:dyDescent="0.2">
      <c r="A10" s="5">
        <v>7</v>
      </c>
      <c r="B10" s="6" t="s">
        <v>36</v>
      </c>
      <c r="C10" s="7" t="s">
        <v>231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18">
        <v>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40">
        <v>0</v>
      </c>
      <c r="AB10" s="8">
        <v>0</v>
      </c>
      <c r="AC10" s="27"/>
      <c r="AD10" s="27"/>
      <c r="AE10" s="46"/>
      <c r="AF10" s="46"/>
      <c r="AG10" s="46"/>
      <c r="AH10" s="27" t="str">
        <f t="shared" si="0"/>
        <v xml:space="preserve">2008, </v>
      </c>
    </row>
    <row r="11" spans="1:34" x14ac:dyDescent="0.2">
      <c r="A11" s="5">
        <v>8</v>
      </c>
      <c r="B11" s="6" t="s">
        <v>37</v>
      </c>
      <c r="C11" s="7" t="s">
        <v>232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40">
        <v>0</v>
      </c>
      <c r="AB11" s="8">
        <v>0</v>
      </c>
      <c r="AC11" s="27"/>
      <c r="AD11" s="27"/>
      <c r="AE11" s="46"/>
      <c r="AF11" s="46"/>
      <c r="AG11" s="46"/>
      <c r="AH11" s="27" t="str">
        <f t="shared" si="0"/>
        <v/>
      </c>
    </row>
    <row r="12" spans="1:34" x14ac:dyDescent="0.2">
      <c r="A12" s="5">
        <v>9</v>
      </c>
      <c r="B12" s="6" t="s">
        <v>38</v>
      </c>
      <c r="C12" s="7" t="s">
        <v>233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18">
        <v>1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40">
        <v>0</v>
      </c>
      <c r="AB12" s="8">
        <v>0</v>
      </c>
      <c r="AC12" s="27"/>
      <c r="AD12" s="27"/>
      <c r="AE12" s="46"/>
      <c r="AF12" s="46"/>
      <c r="AG12" s="46"/>
      <c r="AH12" s="27" t="str">
        <f t="shared" si="0"/>
        <v xml:space="preserve">2005, </v>
      </c>
    </row>
    <row r="13" spans="1:34" x14ac:dyDescent="0.2">
      <c r="A13" s="5">
        <v>10</v>
      </c>
      <c r="B13" s="13" t="s">
        <v>39</v>
      </c>
      <c r="C13" s="12" t="s">
        <v>234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40">
        <v>0</v>
      </c>
      <c r="AB13" s="8">
        <v>0</v>
      </c>
      <c r="AC13" s="27"/>
      <c r="AD13" s="27"/>
      <c r="AE13" s="46"/>
      <c r="AF13" s="46"/>
      <c r="AG13" s="46"/>
      <c r="AH13" s="27" t="str">
        <f t="shared" si="0"/>
        <v/>
      </c>
    </row>
    <row r="14" spans="1:34" x14ac:dyDescent="0.2">
      <c r="A14" s="5">
        <v>11</v>
      </c>
      <c r="B14" s="6" t="s">
        <v>40</v>
      </c>
      <c r="C14" s="7" t="s">
        <v>235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40">
        <v>0</v>
      </c>
      <c r="AB14" s="8">
        <v>0</v>
      </c>
      <c r="AC14" s="27"/>
      <c r="AD14" s="27"/>
      <c r="AE14" s="46"/>
      <c r="AF14" s="46"/>
      <c r="AG14" s="46"/>
      <c r="AH14" s="27" t="str">
        <f t="shared" si="0"/>
        <v/>
      </c>
    </row>
    <row r="15" spans="1:34" x14ac:dyDescent="0.2">
      <c r="A15" s="5">
        <v>12</v>
      </c>
      <c r="B15" s="6" t="s">
        <v>41</v>
      </c>
      <c r="C15" s="7" t="s">
        <v>236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40">
        <v>0</v>
      </c>
      <c r="AB15" s="8">
        <v>0</v>
      </c>
      <c r="AC15" s="27"/>
      <c r="AD15" s="27"/>
      <c r="AE15" s="46"/>
      <c r="AF15" s="46"/>
      <c r="AG15" s="46"/>
      <c r="AH15" s="27" t="str">
        <f t="shared" si="0"/>
        <v/>
      </c>
    </row>
    <row r="16" spans="1:34" x14ac:dyDescent="0.2">
      <c r="A16" s="5">
        <v>13</v>
      </c>
      <c r="B16" s="6" t="s">
        <v>42</v>
      </c>
      <c r="C16" s="7" t="s">
        <v>237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40">
        <v>0</v>
      </c>
      <c r="AB16" s="8">
        <v>0</v>
      </c>
      <c r="AC16" s="27"/>
      <c r="AD16" s="27"/>
      <c r="AE16" s="46"/>
      <c r="AF16" s="46"/>
      <c r="AG16" s="46"/>
      <c r="AH16" s="27" t="str">
        <f t="shared" si="0"/>
        <v/>
      </c>
    </row>
    <row r="17" spans="1:62" x14ac:dyDescent="0.2">
      <c r="A17" s="5">
        <v>14</v>
      </c>
      <c r="B17" s="6" t="s">
        <v>43</v>
      </c>
      <c r="C17" s="7" t="s">
        <v>238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18">
        <v>1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18">
        <v>1</v>
      </c>
      <c r="X17" s="8">
        <v>0</v>
      </c>
      <c r="Y17" s="8">
        <v>0</v>
      </c>
      <c r="Z17" s="8">
        <v>0</v>
      </c>
      <c r="AA17" s="40">
        <v>0</v>
      </c>
      <c r="AB17" s="8">
        <v>0</v>
      </c>
      <c r="AC17" s="27"/>
      <c r="AD17" s="27"/>
      <c r="AE17" s="46"/>
      <c r="AF17" s="46"/>
      <c r="AG17" s="46"/>
      <c r="AH17" s="27" t="str">
        <f t="shared" si="0"/>
        <v xml:space="preserve">2008, 2015, </v>
      </c>
    </row>
    <row r="18" spans="1:62" x14ac:dyDescent="0.2">
      <c r="A18" s="5">
        <v>15</v>
      </c>
      <c r="B18" s="6" t="s">
        <v>44</v>
      </c>
      <c r="C18" s="7" t="s">
        <v>239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40">
        <v>0</v>
      </c>
      <c r="AB18" s="8">
        <v>0</v>
      </c>
      <c r="AC18" s="27"/>
      <c r="AD18" s="27"/>
      <c r="AE18" s="46"/>
      <c r="AF18" s="46"/>
      <c r="AG18" s="46"/>
      <c r="AH18" s="27" t="str">
        <f t="shared" si="0"/>
        <v/>
      </c>
    </row>
    <row r="19" spans="1:62" x14ac:dyDescent="0.2">
      <c r="A19" s="5">
        <v>16</v>
      </c>
      <c r="B19" s="9" t="s">
        <v>45</v>
      </c>
      <c r="C19" s="10" t="s">
        <v>240</v>
      </c>
      <c r="D19" s="8">
        <v>0</v>
      </c>
      <c r="E19" s="8">
        <v>0</v>
      </c>
      <c r="F19" s="8">
        <v>0</v>
      </c>
      <c r="G19" s="19">
        <v>1</v>
      </c>
      <c r="H19" s="19">
        <v>1</v>
      </c>
      <c r="I19" s="19">
        <v>1</v>
      </c>
      <c r="J19" s="19">
        <v>1</v>
      </c>
      <c r="K19" s="19">
        <v>1</v>
      </c>
      <c r="L19" s="19">
        <v>1</v>
      </c>
      <c r="M19" s="8">
        <v>0</v>
      </c>
      <c r="N19" s="19">
        <v>1</v>
      </c>
      <c r="O19" s="19">
        <v>1</v>
      </c>
      <c r="P19" s="8">
        <v>0</v>
      </c>
      <c r="Q19" s="19">
        <v>1</v>
      </c>
      <c r="R19" s="8">
        <v>0</v>
      </c>
      <c r="S19" s="19">
        <v>1</v>
      </c>
      <c r="T19" s="19">
        <v>1</v>
      </c>
      <c r="U19" s="19">
        <v>1</v>
      </c>
      <c r="V19" s="19">
        <v>1</v>
      </c>
      <c r="W19" s="19">
        <v>1</v>
      </c>
      <c r="X19" s="8">
        <v>0</v>
      </c>
      <c r="Y19" s="19">
        <v>1</v>
      </c>
      <c r="Z19" s="8">
        <v>0</v>
      </c>
      <c r="AA19" s="41">
        <v>1</v>
      </c>
      <c r="AB19" s="8">
        <v>0</v>
      </c>
      <c r="AC19" s="27"/>
      <c r="AD19" s="27"/>
      <c r="AE19" s="46"/>
      <c r="AF19" s="46"/>
      <c r="AG19" s="46"/>
      <c r="AH19" s="27" t="str">
        <f t="shared" si="0"/>
        <v xml:space="preserve">1999, 2000, 2001, 2002, 2003, 2004, 2006, 2007, 2009, 2011, 2012, 2013, 2014, 2015, 2017, 2019, </v>
      </c>
    </row>
    <row r="20" spans="1:62" x14ac:dyDescent="0.2">
      <c r="A20" s="5">
        <v>17</v>
      </c>
      <c r="B20" s="6" t="s">
        <v>46</v>
      </c>
      <c r="C20" s="7" t="s">
        <v>241</v>
      </c>
      <c r="D20" s="17">
        <v>1</v>
      </c>
      <c r="E20" s="17">
        <v>1</v>
      </c>
      <c r="F20" s="17">
        <v>1</v>
      </c>
      <c r="G20" s="17">
        <v>1</v>
      </c>
      <c r="H20" s="17">
        <v>1</v>
      </c>
      <c r="I20" s="17">
        <v>1</v>
      </c>
      <c r="J20" s="17">
        <v>1</v>
      </c>
      <c r="K20" s="17">
        <v>1</v>
      </c>
      <c r="L20" s="17">
        <v>1</v>
      </c>
      <c r="M20" s="17">
        <v>1</v>
      </c>
      <c r="N20" s="17">
        <v>1</v>
      </c>
      <c r="O20" s="17">
        <v>1</v>
      </c>
      <c r="P20" s="17">
        <v>1</v>
      </c>
      <c r="Q20" s="17">
        <v>1</v>
      </c>
      <c r="R20" s="17">
        <v>1</v>
      </c>
      <c r="S20" s="17">
        <v>1</v>
      </c>
      <c r="T20" s="17">
        <v>1</v>
      </c>
      <c r="U20" s="17">
        <v>1</v>
      </c>
      <c r="V20" s="17">
        <v>1</v>
      </c>
      <c r="W20" s="17">
        <v>1</v>
      </c>
      <c r="X20" s="17">
        <v>1</v>
      </c>
      <c r="Y20" s="17">
        <v>1</v>
      </c>
      <c r="Z20" s="17">
        <v>1</v>
      </c>
      <c r="AA20" s="17">
        <v>1</v>
      </c>
      <c r="AB20" s="8">
        <v>0</v>
      </c>
      <c r="AC20" s="27"/>
      <c r="AD20" s="27"/>
      <c r="AE20" s="46"/>
      <c r="AF20" s="46"/>
      <c r="AG20" s="46"/>
      <c r="AH20" s="27" t="str">
        <f t="shared" si="0"/>
        <v xml:space="preserve">1996, 1997, 1998, 1999, 2000, 2001, 2002, 2003, 2004, 2005, 2006, 2007, 2008, 2009, 2010, 2011, 2012, 2013, 2014, 2015, 2016, 2017, 2018, 2019, </v>
      </c>
    </row>
    <row r="21" spans="1:62" s="15" customFormat="1" x14ac:dyDescent="0.2">
      <c r="A21" s="5">
        <v>18</v>
      </c>
      <c r="B21" s="6" t="s">
        <v>47</v>
      </c>
      <c r="C21" s="7" t="s">
        <v>242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32">
        <v>0</v>
      </c>
      <c r="L21" s="8">
        <v>0</v>
      </c>
      <c r="M21" s="19">
        <v>1</v>
      </c>
      <c r="N21" s="8">
        <v>0</v>
      </c>
      <c r="O21" s="19">
        <v>1</v>
      </c>
      <c r="P21" s="8">
        <v>0</v>
      </c>
      <c r="Q21" s="8">
        <v>0</v>
      </c>
      <c r="R21" s="33">
        <v>0</v>
      </c>
      <c r="S21" s="8">
        <v>0</v>
      </c>
      <c r="T21" s="8">
        <v>0</v>
      </c>
      <c r="U21" s="19">
        <v>1</v>
      </c>
      <c r="V21" s="8">
        <v>0</v>
      </c>
      <c r="W21" s="8">
        <v>0</v>
      </c>
      <c r="X21" s="19">
        <v>1</v>
      </c>
      <c r="Y21" s="8">
        <v>0</v>
      </c>
      <c r="Z21" s="8">
        <v>0</v>
      </c>
      <c r="AA21" s="40">
        <v>0</v>
      </c>
      <c r="AB21" s="8">
        <v>1</v>
      </c>
      <c r="AC21" s="27">
        <v>1</v>
      </c>
      <c r="AD21" s="27">
        <v>1</v>
      </c>
      <c r="AE21" s="46">
        <v>1</v>
      </c>
      <c r="AF21" s="46"/>
      <c r="AG21" s="46"/>
      <c r="AH21" s="27" t="str">
        <f t="shared" si="0"/>
        <v xml:space="preserve">2005, 2007, 2013, 2016, 2020, 2021, 2022, 2023, </v>
      </c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</row>
    <row r="22" spans="1:62" x14ac:dyDescent="0.2">
      <c r="A22" s="5">
        <v>19</v>
      </c>
      <c r="B22" s="6" t="s">
        <v>48</v>
      </c>
      <c r="C22" s="7" t="s">
        <v>243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40">
        <v>0</v>
      </c>
      <c r="AB22" s="8">
        <v>0</v>
      </c>
      <c r="AC22" s="27"/>
      <c r="AD22" s="27"/>
      <c r="AE22" s="46"/>
      <c r="AF22" s="46"/>
      <c r="AG22" s="46"/>
      <c r="AH22" s="27" t="str">
        <f t="shared" si="0"/>
        <v xml:space="preserve">1996, 1997, 1998, 1999, 2000, 2001, 2002, 2003, 2004, 2005, 2006, 2007, </v>
      </c>
    </row>
    <row r="23" spans="1:62" x14ac:dyDescent="0.2">
      <c r="A23" s="5">
        <v>20</v>
      </c>
      <c r="B23" s="6" t="s">
        <v>49</v>
      </c>
      <c r="C23" s="7" t="s">
        <v>244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17">
        <v>1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40">
        <v>0</v>
      </c>
      <c r="AB23" s="8">
        <v>0</v>
      </c>
      <c r="AC23" s="27"/>
      <c r="AD23" s="27"/>
      <c r="AE23" s="46"/>
      <c r="AF23" s="46"/>
      <c r="AG23" s="46"/>
      <c r="AH23" s="27" t="str">
        <f t="shared" si="0"/>
        <v xml:space="preserve">2011, </v>
      </c>
    </row>
    <row r="24" spans="1:62" x14ac:dyDescent="0.2">
      <c r="A24" s="5">
        <v>21</v>
      </c>
      <c r="B24" s="9" t="s">
        <v>50</v>
      </c>
      <c r="C24" s="10" t="s">
        <v>245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40">
        <v>0</v>
      </c>
      <c r="AB24" s="8">
        <v>0</v>
      </c>
      <c r="AC24" s="27"/>
      <c r="AD24" s="27"/>
      <c r="AE24" s="46"/>
      <c r="AF24" s="46"/>
      <c r="AG24" s="46"/>
      <c r="AH24" s="27" t="str">
        <f t="shared" si="0"/>
        <v/>
      </c>
    </row>
    <row r="25" spans="1:62" x14ac:dyDescent="0.2">
      <c r="A25" s="5">
        <v>22</v>
      </c>
      <c r="B25" s="6" t="s">
        <v>51</v>
      </c>
      <c r="C25" s="7" t="s">
        <v>246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17">
        <v>1</v>
      </c>
      <c r="AB25" s="8">
        <v>0</v>
      </c>
      <c r="AC25" s="27"/>
      <c r="AD25" s="27"/>
      <c r="AE25" s="46"/>
      <c r="AF25" s="46"/>
      <c r="AG25" s="46"/>
      <c r="AH25" s="27" t="str">
        <f t="shared" si="0"/>
        <v xml:space="preserve">2019, </v>
      </c>
    </row>
    <row r="26" spans="1:62" x14ac:dyDescent="0.2">
      <c r="A26" s="5">
        <v>23</v>
      </c>
      <c r="B26" s="6" t="s">
        <v>52</v>
      </c>
      <c r="C26" s="7" t="s">
        <v>247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40">
        <v>0</v>
      </c>
      <c r="AB26" s="8">
        <v>0</v>
      </c>
      <c r="AC26" s="27"/>
      <c r="AD26" s="27"/>
      <c r="AE26" s="46"/>
      <c r="AF26" s="46"/>
      <c r="AG26" s="46"/>
      <c r="AH26" s="27" t="str">
        <f t="shared" si="0"/>
        <v/>
      </c>
    </row>
    <row r="27" spans="1:62" x14ac:dyDescent="0.2">
      <c r="A27" s="5">
        <v>24</v>
      </c>
      <c r="B27" s="6" t="s">
        <v>53</v>
      </c>
      <c r="C27" s="7" t="s">
        <v>248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40">
        <v>0</v>
      </c>
      <c r="AB27" s="8">
        <v>0</v>
      </c>
      <c r="AC27" s="27"/>
      <c r="AD27" s="27"/>
      <c r="AE27" s="46"/>
      <c r="AF27" s="46"/>
      <c r="AG27" s="46"/>
      <c r="AH27" s="27" t="str">
        <f t="shared" si="0"/>
        <v/>
      </c>
    </row>
    <row r="28" spans="1:62" x14ac:dyDescent="0.2">
      <c r="A28" s="5">
        <v>25</v>
      </c>
      <c r="B28" s="6" t="s">
        <v>54</v>
      </c>
      <c r="C28" s="7" t="s">
        <v>249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40">
        <v>0</v>
      </c>
      <c r="AB28" s="8">
        <v>0</v>
      </c>
      <c r="AC28" s="27"/>
      <c r="AD28" s="27"/>
      <c r="AE28" s="46"/>
      <c r="AF28" s="46"/>
      <c r="AG28" s="46"/>
      <c r="AH28" s="27" t="str">
        <f t="shared" si="0"/>
        <v/>
      </c>
    </row>
    <row r="29" spans="1:62" x14ac:dyDescent="0.2">
      <c r="A29" s="5">
        <v>26</v>
      </c>
      <c r="B29" s="13" t="s">
        <v>55</v>
      </c>
      <c r="C29" s="12" t="s">
        <v>250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40">
        <v>0</v>
      </c>
      <c r="AB29" s="8">
        <v>0</v>
      </c>
      <c r="AC29" s="27"/>
      <c r="AD29" s="27"/>
      <c r="AE29" s="46"/>
      <c r="AF29" s="46"/>
      <c r="AG29" s="46"/>
      <c r="AH29" s="27" t="str">
        <f t="shared" si="0"/>
        <v/>
      </c>
    </row>
    <row r="30" spans="1:62" x14ac:dyDescent="0.2">
      <c r="A30" s="5">
        <v>27</v>
      </c>
      <c r="B30" s="14" t="s">
        <v>56</v>
      </c>
      <c r="C30" s="7" t="s">
        <v>251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40">
        <v>0</v>
      </c>
      <c r="AB30" s="8">
        <v>0</v>
      </c>
      <c r="AC30" s="27"/>
      <c r="AD30" s="27"/>
      <c r="AE30" s="46"/>
      <c r="AF30" s="46"/>
      <c r="AG30" s="46"/>
      <c r="AH30" s="27" t="str">
        <f t="shared" si="0"/>
        <v/>
      </c>
    </row>
    <row r="31" spans="1:62" x14ac:dyDescent="0.2">
      <c r="A31" s="5">
        <v>28</v>
      </c>
      <c r="B31" s="13" t="s">
        <v>57</v>
      </c>
      <c r="C31" s="7" t="s">
        <v>252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19">
        <v>1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18">
        <v>1</v>
      </c>
      <c r="Q31" s="8">
        <v>0</v>
      </c>
      <c r="R31" s="19">
        <v>1</v>
      </c>
      <c r="S31" s="19">
        <v>1</v>
      </c>
      <c r="T31" s="8">
        <v>0</v>
      </c>
      <c r="U31" s="19">
        <v>1</v>
      </c>
      <c r="V31" s="19">
        <v>1</v>
      </c>
      <c r="W31" s="19">
        <v>1</v>
      </c>
      <c r="X31" s="19">
        <v>1</v>
      </c>
      <c r="Y31" s="19">
        <v>1</v>
      </c>
      <c r="Z31" s="8">
        <v>0</v>
      </c>
      <c r="AA31" s="17">
        <v>1</v>
      </c>
      <c r="AB31" s="8">
        <v>0</v>
      </c>
      <c r="AC31" s="27"/>
      <c r="AD31" s="27"/>
      <c r="AE31" s="46"/>
      <c r="AF31" s="46"/>
      <c r="AG31" s="46"/>
      <c r="AH31" s="27" t="str">
        <f t="shared" si="0"/>
        <v xml:space="preserve">2001, 2008, 2010, 2011, 2013, 2014, 2015, 2016, 2017, 2019, </v>
      </c>
    </row>
    <row r="32" spans="1:62" x14ac:dyDescent="0.2">
      <c r="A32" s="5">
        <v>29</v>
      </c>
      <c r="B32" s="9" t="s">
        <v>58</v>
      </c>
      <c r="C32" s="10" t="s">
        <v>253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40">
        <v>0</v>
      </c>
      <c r="AB32" s="8">
        <v>0</v>
      </c>
      <c r="AC32" s="27"/>
      <c r="AD32" s="27"/>
      <c r="AE32" s="46"/>
      <c r="AF32" s="46"/>
      <c r="AG32" s="46"/>
      <c r="AH32" s="27" t="str">
        <f t="shared" si="0"/>
        <v/>
      </c>
    </row>
    <row r="33" spans="1:34" x14ac:dyDescent="0.2">
      <c r="A33" s="5">
        <v>30</v>
      </c>
      <c r="B33" s="6" t="s">
        <v>59</v>
      </c>
      <c r="C33" s="7" t="s">
        <v>254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40">
        <v>0</v>
      </c>
      <c r="AB33" s="8">
        <v>0</v>
      </c>
      <c r="AC33" s="27"/>
      <c r="AD33" s="27"/>
      <c r="AE33" s="46"/>
      <c r="AF33" s="46"/>
      <c r="AG33" s="46"/>
      <c r="AH33" s="27" t="str">
        <f t="shared" si="0"/>
        <v/>
      </c>
    </row>
    <row r="34" spans="1:34" x14ac:dyDescent="0.2">
      <c r="A34" s="5">
        <v>31</v>
      </c>
      <c r="B34" s="6" t="s">
        <v>60</v>
      </c>
      <c r="C34" s="7" t="s">
        <v>255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40">
        <v>0</v>
      </c>
      <c r="AB34" s="8">
        <v>0</v>
      </c>
      <c r="AC34" s="27"/>
      <c r="AD34" s="27"/>
      <c r="AE34" s="46"/>
      <c r="AF34" s="46"/>
      <c r="AG34" s="46"/>
      <c r="AH34" s="27" t="str">
        <f t="shared" si="0"/>
        <v/>
      </c>
    </row>
    <row r="35" spans="1:34" x14ac:dyDescent="0.2">
      <c r="A35" s="5">
        <v>32</v>
      </c>
      <c r="B35" s="9" t="s">
        <v>61</v>
      </c>
      <c r="C35" s="10" t="s">
        <v>256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19">
        <v>1</v>
      </c>
      <c r="Z35" s="19">
        <v>1</v>
      </c>
      <c r="AA35" s="41">
        <v>1</v>
      </c>
      <c r="AB35" s="8">
        <v>0</v>
      </c>
      <c r="AC35" s="27"/>
      <c r="AD35" s="27"/>
      <c r="AE35" s="46"/>
      <c r="AF35" s="46"/>
      <c r="AG35" s="46"/>
      <c r="AH35" s="27" t="str">
        <f t="shared" si="0"/>
        <v xml:space="preserve">2017, 2018, 2019, </v>
      </c>
    </row>
    <row r="36" spans="1:34" x14ac:dyDescent="0.2">
      <c r="A36" s="5">
        <v>33</v>
      </c>
      <c r="B36" s="6" t="s">
        <v>62</v>
      </c>
      <c r="C36" s="7" t="s">
        <v>257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18">
        <v>1</v>
      </c>
      <c r="Y36" s="8">
        <v>0</v>
      </c>
      <c r="Z36" s="8">
        <v>0</v>
      </c>
      <c r="AA36" s="40">
        <v>0</v>
      </c>
      <c r="AB36" s="8">
        <v>0</v>
      </c>
      <c r="AC36" s="27"/>
      <c r="AD36" s="27"/>
      <c r="AE36" s="46"/>
      <c r="AF36" s="46"/>
      <c r="AG36" s="46"/>
      <c r="AH36" s="27" t="str">
        <f t="shared" si="0"/>
        <v xml:space="preserve">2016, </v>
      </c>
    </row>
    <row r="37" spans="1:34" x14ac:dyDescent="0.2">
      <c r="A37" s="5">
        <v>34</v>
      </c>
      <c r="B37" s="6" t="s">
        <v>63</v>
      </c>
      <c r="C37" s="7" t="s">
        <v>258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34">
        <v>1</v>
      </c>
      <c r="N37" s="8">
        <v>0</v>
      </c>
      <c r="O37" s="19">
        <v>1</v>
      </c>
      <c r="P37" s="8">
        <v>0</v>
      </c>
      <c r="Q37" s="8">
        <v>0</v>
      </c>
      <c r="R37" s="19">
        <v>1</v>
      </c>
      <c r="S37" s="8">
        <v>0</v>
      </c>
      <c r="T37" s="8">
        <v>0</v>
      </c>
      <c r="U37" s="19">
        <v>1</v>
      </c>
      <c r="V37" s="8">
        <v>0</v>
      </c>
      <c r="W37" s="8">
        <v>0</v>
      </c>
      <c r="X37" s="19">
        <v>1</v>
      </c>
      <c r="Y37" s="8">
        <v>0</v>
      </c>
      <c r="Z37" s="8">
        <v>0</v>
      </c>
      <c r="AA37" s="40">
        <v>0</v>
      </c>
      <c r="AB37" s="8">
        <v>1</v>
      </c>
      <c r="AC37" s="27"/>
      <c r="AD37" s="27"/>
      <c r="AE37" s="46"/>
      <c r="AF37" s="46"/>
      <c r="AG37" s="46"/>
      <c r="AH37" s="27" t="str">
        <f t="shared" si="0"/>
        <v xml:space="preserve">2005, 2007, 2010, 2013, 2016, 2020, </v>
      </c>
    </row>
    <row r="38" spans="1:34" x14ac:dyDescent="0.2">
      <c r="A38" s="5">
        <v>35</v>
      </c>
      <c r="B38" s="11" t="s">
        <v>64</v>
      </c>
      <c r="C38" s="12" t="s">
        <v>259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40">
        <v>0</v>
      </c>
      <c r="AB38" s="8">
        <v>0</v>
      </c>
      <c r="AC38" s="27"/>
      <c r="AD38" s="27"/>
      <c r="AE38" s="46"/>
      <c r="AF38" s="46"/>
      <c r="AG38" s="46"/>
      <c r="AH38" s="27" t="str">
        <f t="shared" si="0"/>
        <v/>
      </c>
    </row>
    <row r="39" spans="1:34" x14ac:dyDescent="0.2">
      <c r="A39" s="5">
        <v>36</v>
      </c>
      <c r="B39" s="6" t="s">
        <v>65</v>
      </c>
      <c r="C39" s="7" t="s">
        <v>260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40">
        <v>0</v>
      </c>
      <c r="AB39" s="8">
        <v>0</v>
      </c>
      <c r="AC39" s="27"/>
      <c r="AD39" s="27"/>
      <c r="AE39" s="46"/>
      <c r="AF39" s="46"/>
      <c r="AG39" s="46"/>
      <c r="AH39" s="27" t="str">
        <f t="shared" si="0"/>
        <v/>
      </c>
    </row>
    <row r="40" spans="1:34" x14ac:dyDescent="0.2">
      <c r="A40" s="5">
        <v>37</v>
      </c>
      <c r="B40" s="6" t="s">
        <v>66</v>
      </c>
      <c r="C40" s="7" t="s">
        <v>261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40">
        <v>0</v>
      </c>
      <c r="AB40" s="8">
        <v>0</v>
      </c>
      <c r="AC40" s="27"/>
      <c r="AD40" s="27"/>
      <c r="AE40" s="46"/>
      <c r="AF40" s="46"/>
      <c r="AG40" s="46"/>
      <c r="AH40" s="27" t="str">
        <f t="shared" si="0"/>
        <v/>
      </c>
    </row>
    <row r="41" spans="1:34" x14ac:dyDescent="0.2">
      <c r="A41" s="5">
        <v>38</v>
      </c>
      <c r="B41" s="11" t="s">
        <v>67</v>
      </c>
      <c r="C41" s="10" t="s">
        <v>262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19">
        <v>1</v>
      </c>
      <c r="P41" s="19">
        <v>1</v>
      </c>
      <c r="Q41" s="19">
        <v>1</v>
      </c>
      <c r="R41" s="19">
        <v>1</v>
      </c>
      <c r="S41" s="8">
        <v>0</v>
      </c>
      <c r="T41" s="8">
        <v>0</v>
      </c>
      <c r="U41" s="8">
        <v>0</v>
      </c>
      <c r="V41" s="19">
        <v>1</v>
      </c>
      <c r="W41" s="19">
        <v>1</v>
      </c>
      <c r="X41" s="19">
        <v>1</v>
      </c>
      <c r="Y41" s="19">
        <v>1</v>
      </c>
      <c r="Z41" s="19">
        <v>1</v>
      </c>
      <c r="AA41" s="40">
        <v>0</v>
      </c>
      <c r="AB41" s="8">
        <v>0</v>
      </c>
      <c r="AC41" s="27"/>
      <c r="AD41" s="27"/>
      <c r="AE41" s="46"/>
      <c r="AF41" s="46"/>
      <c r="AG41" s="46"/>
      <c r="AH41" s="27" t="str">
        <f t="shared" si="0"/>
        <v xml:space="preserve">2007, 2008, 2009, 2010, 2014, 2015, 2016, 2017, 2018, </v>
      </c>
    </row>
    <row r="42" spans="1:34" x14ac:dyDescent="0.2">
      <c r="A42" s="5">
        <v>39</v>
      </c>
      <c r="B42" s="6" t="s">
        <v>68</v>
      </c>
      <c r="C42" s="7" t="s">
        <v>263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40">
        <v>0</v>
      </c>
      <c r="AB42" s="8">
        <v>0</v>
      </c>
      <c r="AC42" s="27"/>
      <c r="AD42" s="27"/>
      <c r="AE42" s="46"/>
      <c r="AF42" s="46"/>
      <c r="AG42" s="46"/>
      <c r="AH42" s="27" t="str">
        <f t="shared" si="0"/>
        <v/>
      </c>
    </row>
    <row r="43" spans="1:34" x14ac:dyDescent="0.2">
      <c r="A43" s="5">
        <v>40</v>
      </c>
      <c r="B43" s="6" t="s">
        <v>69</v>
      </c>
      <c r="C43" s="7" t="s">
        <v>264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40">
        <v>0</v>
      </c>
      <c r="AB43" s="8">
        <v>0</v>
      </c>
      <c r="AC43" s="27"/>
      <c r="AD43" s="27"/>
      <c r="AE43" s="46"/>
      <c r="AF43" s="46"/>
      <c r="AG43" s="46"/>
      <c r="AH43" s="27" t="str">
        <f t="shared" si="0"/>
        <v/>
      </c>
    </row>
    <row r="44" spans="1:34" x14ac:dyDescent="0.2">
      <c r="A44" s="5">
        <v>41</v>
      </c>
      <c r="B44" s="6" t="s">
        <v>70</v>
      </c>
      <c r="C44" s="7" t="s">
        <v>265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40">
        <v>0</v>
      </c>
      <c r="AB44" s="8">
        <v>0</v>
      </c>
      <c r="AC44" s="27"/>
      <c r="AD44" s="27"/>
      <c r="AE44" s="46"/>
      <c r="AF44" s="46"/>
      <c r="AG44" s="46"/>
      <c r="AH44" s="27" t="str">
        <f t="shared" si="0"/>
        <v/>
      </c>
    </row>
    <row r="45" spans="1:34" x14ac:dyDescent="0.2">
      <c r="A45" s="5">
        <v>42</v>
      </c>
      <c r="B45" s="6" t="s">
        <v>71</v>
      </c>
      <c r="C45" s="7" t="s">
        <v>266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40">
        <v>0</v>
      </c>
      <c r="AB45" s="8">
        <v>0</v>
      </c>
      <c r="AC45" s="27"/>
      <c r="AD45" s="27"/>
      <c r="AE45" s="46"/>
      <c r="AF45" s="46"/>
      <c r="AG45" s="46"/>
      <c r="AH45" s="27" t="str">
        <f t="shared" si="0"/>
        <v/>
      </c>
    </row>
    <row r="46" spans="1:34" x14ac:dyDescent="0.2">
      <c r="A46" s="5">
        <v>43</v>
      </c>
      <c r="B46" s="6" t="s">
        <v>72</v>
      </c>
      <c r="C46" s="7" t="s">
        <v>267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40">
        <v>0</v>
      </c>
      <c r="AB46" s="8">
        <v>0</v>
      </c>
      <c r="AC46" s="27"/>
      <c r="AD46" s="27"/>
      <c r="AE46" s="46"/>
      <c r="AF46" s="46"/>
      <c r="AG46" s="46"/>
      <c r="AH46" s="27" t="str">
        <f t="shared" si="0"/>
        <v/>
      </c>
    </row>
    <row r="47" spans="1:34" x14ac:dyDescent="0.2">
      <c r="A47" s="5">
        <v>44</v>
      </c>
      <c r="B47" s="9" t="s">
        <v>73</v>
      </c>
      <c r="C47" s="10" t="s">
        <v>268</v>
      </c>
      <c r="D47" s="19">
        <v>1</v>
      </c>
      <c r="E47" s="19">
        <v>1</v>
      </c>
      <c r="F47" s="19">
        <v>1</v>
      </c>
      <c r="G47" s="19">
        <v>1</v>
      </c>
      <c r="H47" s="18">
        <v>1</v>
      </c>
      <c r="I47" s="18">
        <v>1</v>
      </c>
      <c r="J47" s="18">
        <v>1</v>
      </c>
      <c r="K47" s="18">
        <v>1</v>
      </c>
      <c r="L47" s="18">
        <v>1</v>
      </c>
      <c r="M47" s="18">
        <v>1</v>
      </c>
      <c r="N47" s="18">
        <v>1</v>
      </c>
      <c r="O47" s="18">
        <v>1</v>
      </c>
      <c r="P47" s="18">
        <v>1</v>
      </c>
      <c r="Q47" s="18">
        <v>1</v>
      </c>
      <c r="R47" s="18">
        <v>1</v>
      </c>
      <c r="S47" s="18">
        <v>1</v>
      </c>
      <c r="T47" s="18">
        <v>1</v>
      </c>
      <c r="U47" s="18">
        <v>1</v>
      </c>
      <c r="V47" s="18">
        <v>1</v>
      </c>
      <c r="W47" s="18">
        <v>1</v>
      </c>
      <c r="X47" s="19">
        <v>1</v>
      </c>
      <c r="Y47" s="19">
        <v>1</v>
      </c>
      <c r="Z47" s="19">
        <v>1</v>
      </c>
      <c r="AA47" s="41">
        <v>1</v>
      </c>
      <c r="AB47" s="8">
        <v>0</v>
      </c>
      <c r="AC47" s="27"/>
      <c r="AD47" s="27"/>
      <c r="AE47" s="46"/>
      <c r="AF47" s="46"/>
      <c r="AG47" s="46"/>
      <c r="AH47" s="27" t="str">
        <f t="shared" si="0"/>
        <v xml:space="preserve">1996, 1997, 1998, 1999, 2000, 2001, 2002, 2003, 2004, 2005, 2006, 2007, 2008, 2009, 2010, 2011, 2012, 2013, 2014, 2015, 2016, 2017, 2018, 2019, </v>
      </c>
    </row>
    <row r="48" spans="1:34" x14ac:dyDescent="0.2">
      <c r="A48" s="5">
        <v>45</v>
      </c>
      <c r="B48" s="6" t="s">
        <v>74</v>
      </c>
      <c r="C48" s="7" t="s">
        <v>269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40">
        <v>0</v>
      </c>
      <c r="AB48" s="8">
        <v>0</v>
      </c>
      <c r="AC48" s="27"/>
      <c r="AD48" s="27"/>
      <c r="AE48" s="46"/>
      <c r="AF48" s="46"/>
      <c r="AG48" s="46"/>
      <c r="AH48" s="27" t="str">
        <f t="shared" si="0"/>
        <v/>
      </c>
    </row>
    <row r="49" spans="1:34" x14ac:dyDescent="0.2">
      <c r="A49" s="5">
        <v>46</v>
      </c>
      <c r="B49" s="6" t="s">
        <v>75</v>
      </c>
      <c r="C49" s="7" t="s">
        <v>270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40">
        <v>0</v>
      </c>
      <c r="AB49" s="8">
        <v>0</v>
      </c>
      <c r="AC49" s="27"/>
      <c r="AD49" s="27"/>
      <c r="AE49" s="46"/>
      <c r="AF49" s="46"/>
      <c r="AG49" s="46"/>
      <c r="AH49" s="27" t="str">
        <f t="shared" si="0"/>
        <v/>
      </c>
    </row>
    <row r="50" spans="1:34" x14ac:dyDescent="0.2">
      <c r="A50" s="5">
        <v>47</v>
      </c>
      <c r="B50" s="6" t="s">
        <v>76</v>
      </c>
      <c r="C50" s="7" t="s">
        <v>271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18">
        <v>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40">
        <v>0</v>
      </c>
      <c r="AB50" s="8">
        <v>0</v>
      </c>
      <c r="AC50" s="27"/>
      <c r="AD50" s="27"/>
      <c r="AE50" s="46"/>
      <c r="AF50" s="46"/>
      <c r="AG50" s="46"/>
      <c r="AH50" s="27" t="str">
        <f t="shared" si="0"/>
        <v xml:space="preserve">2005, </v>
      </c>
    </row>
    <row r="51" spans="1:34" x14ac:dyDescent="0.2">
      <c r="A51" s="5">
        <v>48</v>
      </c>
      <c r="B51" s="6" t="s">
        <v>77</v>
      </c>
      <c r="C51" s="7" t="s">
        <v>272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19">
        <v>1</v>
      </c>
      <c r="T51" s="19">
        <v>1</v>
      </c>
      <c r="U51" s="19">
        <v>1</v>
      </c>
      <c r="V51" s="19">
        <v>1</v>
      </c>
      <c r="W51" s="19">
        <v>1</v>
      </c>
      <c r="X51" s="19">
        <v>1</v>
      </c>
      <c r="Y51" s="19">
        <v>1</v>
      </c>
      <c r="Z51" s="19">
        <v>1</v>
      </c>
      <c r="AA51" s="40">
        <v>0</v>
      </c>
      <c r="AB51" s="8">
        <v>0</v>
      </c>
      <c r="AC51" s="27"/>
      <c r="AD51" s="27"/>
      <c r="AE51" s="46"/>
      <c r="AF51" s="46"/>
      <c r="AG51" s="46"/>
      <c r="AH51" s="27" t="str">
        <f t="shared" si="0"/>
        <v xml:space="preserve">2011, 2012, 2013, 2014, 2015, 2016, 2017, 2018, </v>
      </c>
    </row>
    <row r="52" spans="1:34" x14ac:dyDescent="0.2">
      <c r="A52" s="5">
        <v>49</v>
      </c>
      <c r="B52" s="6" t="s">
        <v>78</v>
      </c>
      <c r="C52" s="7" t="s">
        <v>273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19">
        <v>1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40">
        <v>0</v>
      </c>
      <c r="AB52" s="8">
        <v>0</v>
      </c>
      <c r="AC52" s="27"/>
      <c r="AD52" s="27"/>
      <c r="AE52" s="46"/>
      <c r="AF52" s="46"/>
      <c r="AG52" s="46"/>
      <c r="AH52" s="27" t="str">
        <f t="shared" si="0"/>
        <v xml:space="preserve">2013, </v>
      </c>
    </row>
    <row r="53" spans="1:34" x14ac:dyDescent="0.2">
      <c r="A53" s="5">
        <v>50</v>
      </c>
      <c r="B53" s="11" t="s">
        <v>79</v>
      </c>
      <c r="C53" s="12" t="s">
        <v>274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40">
        <v>0</v>
      </c>
      <c r="AB53" s="8">
        <v>0</v>
      </c>
      <c r="AC53" s="27"/>
      <c r="AD53" s="27"/>
      <c r="AE53" s="46"/>
      <c r="AF53" s="46"/>
      <c r="AG53" s="46"/>
      <c r="AH53" s="27" t="str">
        <f t="shared" si="0"/>
        <v/>
      </c>
    </row>
    <row r="54" spans="1:34" x14ac:dyDescent="0.2">
      <c r="A54" s="5">
        <v>51</v>
      </c>
      <c r="B54" s="6" t="s">
        <v>80</v>
      </c>
      <c r="C54" s="7" t="s">
        <v>275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19">
        <v>1</v>
      </c>
      <c r="Q54" s="8">
        <v>0</v>
      </c>
      <c r="R54" s="8">
        <v>0</v>
      </c>
      <c r="S54" s="8">
        <v>0</v>
      </c>
      <c r="T54" s="8">
        <v>0</v>
      </c>
      <c r="U54" s="19">
        <v>1</v>
      </c>
      <c r="V54" s="19">
        <v>1</v>
      </c>
      <c r="W54" s="19">
        <v>1</v>
      </c>
      <c r="X54" s="8">
        <v>0</v>
      </c>
      <c r="Y54" s="19">
        <v>1</v>
      </c>
      <c r="Z54" s="19">
        <v>1</v>
      </c>
      <c r="AA54" s="41">
        <v>1</v>
      </c>
      <c r="AB54" s="8">
        <v>0</v>
      </c>
      <c r="AC54" s="27"/>
      <c r="AD54" s="27"/>
      <c r="AE54" s="46"/>
      <c r="AF54" s="46"/>
      <c r="AG54" s="46"/>
      <c r="AH54" s="27" t="str">
        <f t="shared" si="0"/>
        <v xml:space="preserve">2008, 2013, 2014, 2015, 2017, 2018, 2019, </v>
      </c>
    </row>
    <row r="55" spans="1:34" x14ac:dyDescent="0.2">
      <c r="A55" s="5">
        <v>52</v>
      </c>
      <c r="B55" s="6" t="s">
        <v>81</v>
      </c>
      <c r="C55" s="7" t="s">
        <v>276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40">
        <v>0</v>
      </c>
      <c r="AB55" s="8">
        <v>0</v>
      </c>
      <c r="AC55" s="27"/>
      <c r="AD55" s="27"/>
      <c r="AE55" s="46"/>
      <c r="AF55" s="46"/>
      <c r="AG55" s="46"/>
      <c r="AH55" s="27" t="str">
        <f t="shared" si="0"/>
        <v/>
      </c>
    </row>
    <row r="56" spans="1:34" x14ac:dyDescent="0.2">
      <c r="A56" s="5">
        <v>53</v>
      </c>
      <c r="B56" s="6" t="s">
        <v>82</v>
      </c>
      <c r="C56" s="7" t="s">
        <v>277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40">
        <v>0</v>
      </c>
      <c r="AB56" s="8">
        <v>0</v>
      </c>
      <c r="AC56" s="27"/>
      <c r="AD56" s="27"/>
      <c r="AE56" s="46"/>
      <c r="AF56" s="46"/>
      <c r="AG56" s="46"/>
      <c r="AH56" s="27" t="str">
        <f t="shared" si="0"/>
        <v/>
      </c>
    </row>
    <row r="57" spans="1:34" x14ac:dyDescent="0.2">
      <c r="A57" s="5">
        <v>54</v>
      </c>
      <c r="B57" s="6" t="s">
        <v>83</v>
      </c>
      <c r="C57" s="7" t="s">
        <v>278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40">
        <v>0</v>
      </c>
      <c r="AB57" s="8">
        <v>0</v>
      </c>
      <c r="AC57" s="27"/>
      <c r="AD57" s="27"/>
      <c r="AE57" s="46"/>
      <c r="AF57" s="46"/>
      <c r="AG57" s="46"/>
      <c r="AH57" s="27" t="str">
        <f t="shared" si="0"/>
        <v/>
      </c>
    </row>
    <row r="58" spans="1:34" x14ac:dyDescent="0.2">
      <c r="A58" s="5">
        <v>55</v>
      </c>
      <c r="B58" s="6" t="s">
        <v>84</v>
      </c>
      <c r="C58" s="7" t="s">
        <v>279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40">
        <v>0</v>
      </c>
      <c r="AB58" s="8">
        <v>0</v>
      </c>
      <c r="AC58" s="27"/>
      <c r="AD58" s="27"/>
      <c r="AE58" s="46"/>
      <c r="AF58" s="46"/>
      <c r="AG58" s="46"/>
      <c r="AH58" s="27" t="str">
        <f t="shared" si="0"/>
        <v/>
      </c>
    </row>
    <row r="59" spans="1:34" x14ac:dyDescent="0.2">
      <c r="A59" s="5">
        <v>56</v>
      </c>
      <c r="B59" s="6" t="s">
        <v>85</v>
      </c>
      <c r="C59" s="7" t="s">
        <v>280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34">
        <v>1</v>
      </c>
      <c r="O59" s="19">
        <v>1</v>
      </c>
      <c r="P59" s="34">
        <v>1</v>
      </c>
      <c r="Q59" s="34">
        <v>1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40">
        <v>0</v>
      </c>
      <c r="AB59" s="8">
        <v>0</v>
      </c>
      <c r="AC59" s="27"/>
      <c r="AD59" s="27"/>
      <c r="AE59" s="46"/>
      <c r="AF59" s="46"/>
      <c r="AG59" s="46"/>
      <c r="AH59" s="27" t="str">
        <f t="shared" si="0"/>
        <v xml:space="preserve">2006, 2007, 2008, 2009, </v>
      </c>
    </row>
    <row r="60" spans="1:34" x14ac:dyDescent="0.2">
      <c r="A60" s="5">
        <v>57</v>
      </c>
      <c r="B60" s="9" t="s">
        <v>86</v>
      </c>
      <c r="C60" s="10" t="s">
        <v>281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18">
        <v>1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31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40">
        <v>0</v>
      </c>
      <c r="AB60" s="8">
        <v>0</v>
      </c>
      <c r="AC60" s="27"/>
      <c r="AD60" s="27"/>
      <c r="AE60" s="46"/>
      <c r="AF60" s="46"/>
      <c r="AG60" s="46"/>
      <c r="AH60" s="27" t="str">
        <f t="shared" si="0"/>
        <v xml:space="preserve">2003, </v>
      </c>
    </row>
    <row r="61" spans="1:34" x14ac:dyDescent="0.2">
      <c r="A61" s="5">
        <v>58</v>
      </c>
      <c r="B61" s="6" t="s">
        <v>87</v>
      </c>
      <c r="C61" s="7" t="s">
        <v>282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40">
        <v>0</v>
      </c>
      <c r="AB61" s="8">
        <v>0</v>
      </c>
      <c r="AC61" s="27"/>
      <c r="AD61" s="27"/>
      <c r="AE61" s="46"/>
      <c r="AF61" s="46"/>
      <c r="AG61" s="46"/>
      <c r="AH61" s="27" t="str">
        <f t="shared" si="0"/>
        <v/>
      </c>
    </row>
    <row r="62" spans="1:34" x14ac:dyDescent="0.2">
      <c r="A62" s="5">
        <v>59</v>
      </c>
      <c r="B62" s="9" t="s">
        <v>88</v>
      </c>
      <c r="C62" s="10" t="s">
        <v>283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19">
        <v>1</v>
      </c>
      <c r="AA62" s="41">
        <v>1</v>
      </c>
      <c r="AB62" s="8">
        <v>0</v>
      </c>
      <c r="AC62" s="27"/>
      <c r="AD62" s="27"/>
      <c r="AE62" s="46"/>
      <c r="AF62" s="46"/>
      <c r="AG62" s="46"/>
      <c r="AH62" s="27" t="str">
        <f t="shared" si="0"/>
        <v xml:space="preserve">2018, 2019, </v>
      </c>
    </row>
    <row r="63" spans="1:34" x14ac:dyDescent="0.2">
      <c r="A63" s="5">
        <v>60</v>
      </c>
      <c r="B63" s="6" t="s">
        <v>89</v>
      </c>
      <c r="C63" s="7" t="s">
        <v>284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40">
        <v>0</v>
      </c>
      <c r="AB63" s="8">
        <v>0</v>
      </c>
      <c r="AC63" s="27"/>
      <c r="AD63" s="27"/>
      <c r="AE63" s="46"/>
      <c r="AF63" s="46"/>
      <c r="AG63" s="46"/>
      <c r="AH63" s="27" t="str">
        <f t="shared" si="0"/>
        <v/>
      </c>
    </row>
    <row r="64" spans="1:34" x14ac:dyDescent="0.2">
      <c r="A64" s="5">
        <v>61</v>
      </c>
      <c r="B64" s="6" t="s">
        <v>90</v>
      </c>
      <c r="C64" s="7" t="s">
        <v>285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40">
        <v>0</v>
      </c>
      <c r="AB64" s="8">
        <v>0</v>
      </c>
      <c r="AC64" s="27"/>
      <c r="AD64" s="27"/>
      <c r="AE64" s="46"/>
      <c r="AF64" s="46"/>
      <c r="AG64" s="46"/>
      <c r="AH64" s="27" t="str">
        <f t="shared" si="0"/>
        <v/>
      </c>
    </row>
    <row r="65" spans="1:34" x14ac:dyDescent="0.2">
      <c r="A65" s="5">
        <v>62</v>
      </c>
      <c r="B65" s="6" t="s">
        <v>91</v>
      </c>
      <c r="C65" s="7" t="s">
        <v>286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19">
        <v>1</v>
      </c>
      <c r="P65" s="19">
        <v>1</v>
      </c>
      <c r="Q65" s="19">
        <v>1</v>
      </c>
      <c r="R65" s="19">
        <v>1</v>
      </c>
      <c r="S65" s="19">
        <v>1</v>
      </c>
      <c r="T65" s="19">
        <v>1</v>
      </c>
      <c r="U65" s="19">
        <v>1</v>
      </c>
      <c r="V65" s="19">
        <v>1</v>
      </c>
      <c r="W65" s="19">
        <v>1</v>
      </c>
      <c r="X65" s="19">
        <v>1</v>
      </c>
      <c r="Y65" s="19">
        <v>1</v>
      </c>
      <c r="Z65" s="8">
        <v>0</v>
      </c>
      <c r="AA65" s="40">
        <v>0</v>
      </c>
      <c r="AB65" s="8">
        <v>0</v>
      </c>
      <c r="AC65" s="27"/>
      <c r="AD65" s="27"/>
      <c r="AE65" s="46"/>
      <c r="AF65" s="46"/>
      <c r="AG65" s="46"/>
      <c r="AH65" s="27" t="str">
        <f t="shared" si="0"/>
        <v xml:space="preserve">2007, 2008, 2009, 2010, 2011, 2012, 2013, 2014, 2015, 2016, 2017, </v>
      </c>
    </row>
    <row r="66" spans="1:34" x14ac:dyDescent="0.2">
      <c r="A66" s="5">
        <v>63</v>
      </c>
      <c r="B66" s="6" t="s">
        <v>92</v>
      </c>
      <c r="C66" s="7" t="s">
        <v>287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40">
        <v>0</v>
      </c>
      <c r="AB66" s="8">
        <v>0</v>
      </c>
      <c r="AC66" s="27"/>
      <c r="AD66" s="27"/>
      <c r="AE66" s="46"/>
      <c r="AF66" s="46"/>
      <c r="AG66" s="46"/>
      <c r="AH66" s="27" t="str">
        <f t="shared" si="0"/>
        <v/>
      </c>
    </row>
    <row r="67" spans="1:34" x14ac:dyDescent="0.2">
      <c r="A67" s="5">
        <v>64</v>
      </c>
      <c r="B67" s="6" t="s">
        <v>93</v>
      </c>
      <c r="C67" s="7" t="s">
        <v>288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40">
        <v>0</v>
      </c>
      <c r="AB67" s="8">
        <v>0</v>
      </c>
      <c r="AC67" s="27"/>
      <c r="AD67" s="27"/>
      <c r="AE67" s="46"/>
      <c r="AF67" s="46"/>
      <c r="AG67" s="46"/>
      <c r="AH67" s="27" t="str">
        <f t="shared" si="0"/>
        <v/>
      </c>
    </row>
    <row r="68" spans="1:34" x14ac:dyDescent="0.2">
      <c r="A68" s="5">
        <v>65</v>
      </c>
      <c r="B68" s="6" t="s">
        <v>94</v>
      </c>
      <c r="C68" s="7" t="s">
        <v>289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40">
        <v>0</v>
      </c>
      <c r="AB68" s="8">
        <v>0</v>
      </c>
      <c r="AC68" s="27"/>
      <c r="AD68" s="27"/>
      <c r="AE68" s="46"/>
      <c r="AF68" s="46"/>
      <c r="AG68" s="46"/>
      <c r="AH68" s="27" t="str">
        <f t="shared" si="0"/>
        <v/>
      </c>
    </row>
    <row r="69" spans="1:34" x14ac:dyDescent="0.2">
      <c r="A69" s="5">
        <v>66</v>
      </c>
      <c r="B69" s="6" t="s">
        <v>95</v>
      </c>
      <c r="C69" s="7" t="s">
        <v>290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19">
        <v>1</v>
      </c>
      <c r="X69" s="19">
        <v>1</v>
      </c>
      <c r="Y69" s="19">
        <v>1</v>
      </c>
      <c r="Z69" s="19">
        <v>1</v>
      </c>
      <c r="AA69" s="41">
        <v>1</v>
      </c>
      <c r="AB69" s="8">
        <v>0</v>
      </c>
      <c r="AC69" s="27"/>
      <c r="AD69" s="27"/>
      <c r="AE69" s="46"/>
      <c r="AF69" s="46"/>
      <c r="AG69" s="46"/>
      <c r="AH69" s="27" t="str">
        <f t="shared" ref="AH69:AH132" si="1">+IF($D69=1,RIGHT(D$3,4)&amp;", ","")&amp;IF($E69=1,RIGHT(E$3,4)&amp;", ","")&amp;IF($F69=1,RIGHT(F$3,4)&amp;", ","")&amp;IF($G69=1,RIGHT(G$3,4)&amp;", ","")&amp;IF($H69=1,RIGHT(H$3,4)&amp;", ","")&amp;IF($I69=1,RIGHT(I$3,4)&amp;", ","")&amp;IF($J69=1,RIGHT(J$3,4)&amp;", ","")&amp;IF($K69=1,RIGHT(K$3,4)&amp;", ","")&amp;IF($L69=1,RIGHT(L$3,4)&amp;", ","")&amp;IF($M69=1,RIGHT(M$3,4)&amp;", ","")&amp;IF($N69=1,RIGHT(N$3,4)&amp;", ","")&amp;IF($O69=1,RIGHT(O$3,4)&amp;", ","")&amp;IF($P69=1,RIGHT(P$3,4)&amp;", ","")&amp;IF($Q69=1,RIGHT(Q$3,4)&amp;", ","")&amp;IF($R69=1,RIGHT(R$3,4)&amp;", ","")&amp;IF($S69=1,RIGHT(S$3,4)&amp;", ","")&amp;IF($T69=1,RIGHT(T$3,4)&amp;", ","")&amp;IF($U69=1,RIGHT(U$3,4)&amp;", ","")&amp;IF($V69=1,RIGHT(V$3,4)&amp;", ","")&amp;IF($W69=1,RIGHT(W$3,4)&amp;", ","")&amp;IF($X69=1,RIGHT(X$3,4)&amp;", ","")&amp;IF($Y69=1,RIGHT(Y$3,4)&amp;", ","")&amp;IF($Z69=1, RIGHT(Z$3,4)&amp;", ", "")&amp;IF($AA69=1, RIGHT(AA$3,4)&amp;", ", "")&amp;IF($AB69=1, RIGHT(AB$3,4)&amp;", ", "") &amp;IF($AC69=1, RIGHT(AC$3,4)&amp;", ", "") &amp;IF($AD69=1, RIGHT(AD$3,4)&amp;", ", "")&amp;IF($AE69=1, RIGHT(AE$3,4)&amp;", ", "")&amp;IF($AF69=1, RIGHT(AF$3,4)&amp;", ", "")&amp;IF($AG69=1, RIGHT(AG$3,4)&amp;", ", "")</f>
        <v xml:space="preserve">2015, 2016, 2017, 2018, 2019, </v>
      </c>
    </row>
    <row r="70" spans="1:34" x14ac:dyDescent="0.2">
      <c r="A70" s="5">
        <v>67</v>
      </c>
      <c r="B70" s="6" t="s">
        <v>96</v>
      </c>
      <c r="C70" s="7" t="s">
        <v>291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40">
        <v>0</v>
      </c>
      <c r="AB70" s="8">
        <v>0</v>
      </c>
      <c r="AC70" s="27"/>
      <c r="AD70" s="27"/>
      <c r="AE70" s="46"/>
      <c r="AF70" s="46"/>
      <c r="AG70" s="46"/>
      <c r="AH70" s="27" t="str">
        <f t="shared" si="1"/>
        <v/>
      </c>
    </row>
    <row r="71" spans="1:34" x14ac:dyDescent="0.2">
      <c r="A71" s="5">
        <v>68</v>
      </c>
      <c r="B71" s="11" t="s">
        <v>97</v>
      </c>
      <c r="C71" s="12" t="s">
        <v>292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40">
        <v>0</v>
      </c>
      <c r="AB71" s="8">
        <v>0</v>
      </c>
      <c r="AC71" s="27"/>
      <c r="AD71" s="27"/>
      <c r="AE71" s="46"/>
      <c r="AF71" s="46"/>
      <c r="AG71" s="46"/>
      <c r="AH71" s="27" t="str">
        <f t="shared" si="1"/>
        <v/>
      </c>
    </row>
    <row r="72" spans="1:34" x14ac:dyDescent="0.2">
      <c r="A72" s="5">
        <v>69</v>
      </c>
      <c r="B72" s="9" t="s">
        <v>98</v>
      </c>
      <c r="C72" s="10" t="s">
        <v>293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40">
        <v>0</v>
      </c>
      <c r="AB72" s="8">
        <v>0</v>
      </c>
      <c r="AC72" s="27"/>
      <c r="AD72" s="27"/>
      <c r="AE72" s="46"/>
      <c r="AF72" s="46"/>
      <c r="AG72" s="46"/>
      <c r="AH72" s="27" t="str">
        <f t="shared" si="1"/>
        <v/>
      </c>
    </row>
    <row r="73" spans="1:34" x14ac:dyDescent="0.2">
      <c r="A73" s="5">
        <v>70</v>
      </c>
      <c r="B73" s="6" t="s">
        <v>99</v>
      </c>
      <c r="C73" s="7" t="s">
        <v>294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33">
        <v>1</v>
      </c>
      <c r="R73" s="8">
        <v>0</v>
      </c>
      <c r="S73" s="33">
        <v>1</v>
      </c>
      <c r="T73" s="8">
        <v>0</v>
      </c>
      <c r="U73" s="33">
        <v>1</v>
      </c>
      <c r="V73" s="33">
        <v>1</v>
      </c>
      <c r="W73" s="8">
        <v>0</v>
      </c>
      <c r="X73" s="19">
        <v>1</v>
      </c>
      <c r="Y73" s="19">
        <v>1</v>
      </c>
      <c r="Z73" s="18">
        <v>1</v>
      </c>
      <c r="AA73" s="40">
        <v>0</v>
      </c>
      <c r="AB73" s="8">
        <v>0</v>
      </c>
      <c r="AC73" s="27"/>
      <c r="AD73" s="27"/>
      <c r="AE73" s="46"/>
      <c r="AF73" s="46"/>
      <c r="AG73" s="46"/>
      <c r="AH73" s="27" t="str">
        <f t="shared" si="1"/>
        <v xml:space="preserve">2009, 2011, 2013, 2014, 2016, 2017, 2018, </v>
      </c>
    </row>
    <row r="74" spans="1:34" x14ac:dyDescent="0.2">
      <c r="A74" s="5">
        <v>71</v>
      </c>
      <c r="B74" s="6" t="s">
        <v>100</v>
      </c>
      <c r="C74" s="7" t="s">
        <v>295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19">
        <v>1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40">
        <v>0</v>
      </c>
      <c r="AB74" s="8">
        <v>0</v>
      </c>
      <c r="AC74" s="27"/>
      <c r="AD74" s="27"/>
      <c r="AE74" s="46"/>
      <c r="AF74" s="46"/>
      <c r="AG74" s="46"/>
      <c r="AH74" s="27" t="str">
        <f t="shared" si="1"/>
        <v xml:space="preserve">2008, </v>
      </c>
    </row>
    <row r="75" spans="1:34" x14ac:dyDescent="0.2">
      <c r="A75" s="5">
        <v>72</v>
      </c>
      <c r="B75" s="6" t="s">
        <v>101</v>
      </c>
      <c r="C75" s="7" t="s">
        <v>296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40">
        <v>0</v>
      </c>
      <c r="AB75" s="8">
        <v>0</v>
      </c>
      <c r="AC75" s="27"/>
      <c r="AD75" s="27"/>
      <c r="AE75" s="46"/>
      <c r="AF75" s="46"/>
      <c r="AG75" s="46"/>
      <c r="AH75" s="27" t="str">
        <f t="shared" si="1"/>
        <v/>
      </c>
    </row>
    <row r="76" spans="1:34" x14ac:dyDescent="0.2">
      <c r="A76" s="5">
        <v>73</v>
      </c>
      <c r="B76" s="22" t="s">
        <v>102</v>
      </c>
      <c r="C76" s="23" t="s">
        <v>297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19">
        <v>1</v>
      </c>
      <c r="S76" s="8">
        <v>0</v>
      </c>
      <c r="T76" s="8">
        <v>0</v>
      </c>
      <c r="U76" s="19">
        <v>1</v>
      </c>
      <c r="V76" s="8">
        <v>0</v>
      </c>
      <c r="W76" s="8">
        <v>0</v>
      </c>
      <c r="X76" s="19">
        <v>1</v>
      </c>
      <c r="Y76" s="8">
        <v>0</v>
      </c>
      <c r="Z76" s="8">
        <v>0</v>
      </c>
      <c r="AA76" s="40">
        <v>0</v>
      </c>
      <c r="AB76" s="8">
        <v>0</v>
      </c>
      <c r="AC76" s="27"/>
      <c r="AD76" s="27"/>
      <c r="AE76" s="46"/>
      <c r="AF76" s="46"/>
      <c r="AG76" s="46"/>
      <c r="AH76" s="27" t="str">
        <f t="shared" si="1"/>
        <v xml:space="preserve">2010, 2013, 2016, </v>
      </c>
    </row>
    <row r="77" spans="1:34" x14ac:dyDescent="0.2">
      <c r="A77" s="5">
        <v>74</v>
      </c>
      <c r="B77" s="6" t="s">
        <v>103</v>
      </c>
      <c r="C77" s="6" t="s">
        <v>298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40">
        <v>0</v>
      </c>
      <c r="AB77" s="8">
        <v>0</v>
      </c>
      <c r="AC77" s="27"/>
      <c r="AD77" s="27"/>
      <c r="AE77" s="46"/>
      <c r="AF77" s="46"/>
      <c r="AG77" s="46"/>
      <c r="AH77" s="27" t="str">
        <f t="shared" si="1"/>
        <v/>
      </c>
    </row>
    <row r="78" spans="1:34" x14ac:dyDescent="0.2">
      <c r="A78" s="5">
        <v>75</v>
      </c>
      <c r="B78" s="11" t="s">
        <v>104</v>
      </c>
      <c r="C78" s="6" t="s">
        <v>299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40">
        <v>0</v>
      </c>
      <c r="AB78" s="8">
        <v>0</v>
      </c>
      <c r="AC78" s="27"/>
      <c r="AD78" s="27"/>
      <c r="AE78" s="46"/>
      <c r="AF78" s="46"/>
      <c r="AG78" s="46"/>
      <c r="AH78" s="27" t="str">
        <f t="shared" si="1"/>
        <v/>
      </c>
    </row>
    <row r="79" spans="1:34" x14ac:dyDescent="0.2">
      <c r="A79" s="5">
        <v>76</v>
      </c>
      <c r="B79" s="6" t="s">
        <v>105</v>
      </c>
      <c r="C79" s="6" t="s">
        <v>300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40">
        <v>0</v>
      </c>
      <c r="AB79" s="8">
        <v>0</v>
      </c>
      <c r="AC79" s="27"/>
      <c r="AD79" s="27"/>
      <c r="AE79" s="46"/>
      <c r="AF79" s="46"/>
      <c r="AG79" s="46"/>
      <c r="AH79" s="27" t="str">
        <f t="shared" si="1"/>
        <v/>
      </c>
    </row>
    <row r="80" spans="1:34" x14ac:dyDescent="0.2">
      <c r="A80" s="5">
        <v>77</v>
      </c>
      <c r="B80" s="6" t="s">
        <v>106</v>
      </c>
      <c r="C80" s="6" t="s">
        <v>301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40">
        <v>0</v>
      </c>
      <c r="AB80" s="8">
        <v>0</v>
      </c>
      <c r="AC80" s="27"/>
      <c r="AD80" s="27"/>
      <c r="AE80" s="46"/>
      <c r="AF80" s="46"/>
      <c r="AG80" s="46"/>
      <c r="AH80" s="27" t="str">
        <f t="shared" si="1"/>
        <v/>
      </c>
    </row>
    <row r="81" spans="1:34" x14ac:dyDescent="0.2">
      <c r="A81" s="5">
        <v>78</v>
      </c>
      <c r="B81" s="6" t="s">
        <v>107</v>
      </c>
      <c r="C81" s="6" t="s">
        <v>302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18">
        <v>1</v>
      </c>
      <c r="O81" s="18">
        <v>1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18">
        <v>1</v>
      </c>
      <c r="W81" s="8">
        <v>0</v>
      </c>
      <c r="X81" s="8">
        <v>0</v>
      </c>
      <c r="Y81" s="18">
        <v>1</v>
      </c>
      <c r="Z81" s="8">
        <v>0</v>
      </c>
      <c r="AA81" s="40">
        <v>0</v>
      </c>
      <c r="AB81" s="8">
        <v>0</v>
      </c>
      <c r="AC81" s="27"/>
      <c r="AD81" s="27"/>
      <c r="AE81" s="46"/>
      <c r="AF81" s="46"/>
      <c r="AG81" s="46"/>
      <c r="AH81" s="27" t="str">
        <f t="shared" si="1"/>
        <v xml:space="preserve">2006, 2007, 2014, 2017, </v>
      </c>
    </row>
    <row r="82" spans="1:34" x14ac:dyDescent="0.2">
      <c r="A82" s="5">
        <v>79</v>
      </c>
      <c r="B82" s="11" t="s">
        <v>108</v>
      </c>
      <c r="C82" s="6" t="s">
        <v>303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40">
        <v>0</v>
      </c>
      <c r="AB82" s="8">
        <v>0</v>
      </c>
      <c r="AC82" s="27"/>
      <c r="AD82" s="27"/>
      <c r="AE82" s="46"/>
      <c r="AF82" s="46"/>
      <c r="AG82" s="46"/>
      <c r="AH82" s="27" t="str">
        <f t="shared" si="1"/>
        <v/>
      </c>
    </row>
    <row r="83" spans="1:34" x14ac:dyDescent="0.2">
      <c r="A83" s="5">
        <v>80</v>
      </c>
      <c r="B83" s="13" t="s">
        <v>109</v>
      </c>
      <c r="C83" s="6" t="s">
        <v>304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40">
        <v>0</v>
      </c>
      <c r="AB83" s="8">
        <v>0</v>
      </c>
      <c r="AC83" s="27"/>
      <c r="AD83" s="27"/>
      <c r="AE83" s="46">
        <v>1</v>
      </c>
      <c r="AF83" s="46"/>
      <c r="AG83" s="46"/>
      <c r="AH83" s="27" t="str">
        <f t="shared" si="1"/>
        <v xml:space="preserve">2023, </v>
      </c>
    </row>
    <row r="84" spans="1:34" x14ac:dyDescent="0.2">
      <c r="A84" s="5">
        <v>81</v>
      </c>
      <c r="B84" s="6" t="s">
        <v>110</v>
      </c>
      <c r="C84" s="6" t="s">
        <v>305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19">
        <v>1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40">
        <v>0</v>
      </c>
      <c r="AB84" s="8">
        <v>0</v>
      </c>
      <c r="AC84" s="27"/>
      <c r="AD84" s="27"/>
      <c r="AE84" s="46"/>
      <c r="AF84" s="46"/>
      <c r="AG84" s="46"/>
      <c r="AH84" s="27" t="str">
        <f t="shared" si="1"/>
        <v xml:space="preserve">2005, </v>
      </c>
    </row>
    <row r="85" spans="1:34" x14ac:dyDescent="0.2">
      <c r="A85" s="5">
        <v>82</v>
      </c>
      <c r="B85" s="6" t="s">
        <v>111</v>
      </c>
      <c r="C85" s="6" t="s">
        <v>306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19">
        <v>1</v>
      </c>
      <c r="U85" s="8">
        <v>0</v>
      </c>
      <c r="V85" s="19">
        <v>1</v>
      </c>
      <c r="W85" s="8">
        <v>0</v>
      </c>
      <c r="X85" s="8">
        <v>0</v>
      </c>
      <c r="Y85" s="19">
        <v>1</v>
      </c>
      <c r="Z85" s="8">
        <v>0</v>
      </c>
      <c r="AA85" s="41">
        <v>1</v>
      </c>
      <c r="AB85" s="8">
        <v>0</v>
      </c>
      <c r="AC85" s="27"/>
      <c r="AD85" s="27"/>
      <c r="AE85" s="46"/>
      <c r="AF85" s="46"/>
      <c r="AG85" s="46"/>
      <c r="AH85" s="27" t="str">
        <f t="shared" si="1"/>
        <v xml:space="preserve">2012, 2014, 2017, 2019, </v>
      </c>
    </row>
    <row r="86" spans="1:34" x14ac:dyDescent="0.2">
      <c r="A86" s="5">
        <v>83</v>
      </c>
      <c r="B86" s="6" t="s">
        <v>112</v>
      </c>
      <c r="C86" s="6" t="s">
        <v>307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40">
        <v>0</v>
      </c>
      <c r="AB86" s="8">
        <v>0</v>
      </c>
      <c r="AC86" s="27"/>
      <c r="AD86" s="27"/>
      <c r="AE86" s="46"/>
      <c r="AF86" s="46"/>
      <c r="AG86" s="46"/>
      <c r="AH86" s="27" t="str">
        <f t="shared" si="1"/>
        <v/>
      </c>
    </row>
    <row r="87" spans="1:34" x14ac:dyDescent="0.2">
      <c r="A87" s="5">
        <v>84</v>
      </c>
      <c r="B87" s="6" t="s">
        <v>113</v>
      </c>
      <c r="C87" s="6" t="s">
        <v>308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40">
        <v>0</v>
      </c>
      <c r="AB87" s="8">
        <v>0</v>
      </c>
      <c r="AC87" s="27"/>
      <c r="AD87" s="27"/>
      <c r="AE87" s="46"/>
      <c r="AF87" s="46"/>
      <c r="AG87" s="46"/>
      <c r="AH87" s="27" t="str">
        <f t="shared" si="1"/>
        <v/>
      </c>
    </row>
    <row r="88" spans="1:34" x14ac:dyDescent="0.2">
      <c r="A88" s="5">
        <v>85</v>
      </c>
      <c r="B88" s="6" t="s">
        <v>114</v>
      </c>
      <c r="C88" s="6" t="s">
        <v>309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40">
        <v>0</v>
      </c>
      <c r="AB88" s="8">
        <v>0</v>
      </c>
      <c r="AC88" s="27"/>
      <c r="AD88" s="27"/>
      <c r="AE88" s="46"/>
      <c r="AF88" s="46"/>
      <c r="AG88" s="46"/>
      <c r="AH88" s="27" t="str">
        <f t="shared" si="1"/>
        <v/>
      </c>
    </row>
    <row r="89" spans="1:34" x14ac:dyDescent="0.2">
      <c r="A89" s="5">
        <v>86</v>
      </c>
      <c r="B89" s="6" t="s">
        <v>115</v>
      </c>
      <c r="C89" s="6" t="s">
        <v>310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19">
        <v>1</v>
      </c>
      <c r="Y89" s="8">
        <v>0</v>
      </c>
      <c r="Z89" s="8">
        <v>0</v>
      </c>
      <c r="AA89" s="40">
        <v>0</v>
      </c>
      <c r="AB89" s="8">
        <v>0</v>
      </c>
      <c r="AC89" s="27"/>
      <c r="AD89" s="27"/>
      <c r="AE89" s="46"/>
      <c r="AF89" s="46"/>
      <c r="AG89" s="46"/>
      <c r="AH89" s="27" t="str">
        <f t="shared" si="1"/>
        <v xml:space="preserve">2016, </v>
      </c>
    </row>
    <row r="90" spans="1:34" x14ac:dyDescent="0.2">
      <c r="A90" s="5">
        <v>87</v>
      </c>
      <c r="B90" s="9" t="s">
        <v>116</v>
      </c>
      <c r="C90" s="6" t="s">
        <v>311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40">
        <v>0</v>
      </c>
      <c r="AB90" s="8">
        <v>0</v>
      </c>
      <c r="AC90" s="27"/>
      <c r="AD90" s="27"/>
      <c r="AE90" s="46"/>
      <c r="AF90" s="46"/>
      <c r="AG90" s="46"/>
      <c r="AH90" s="27" t="str">
        <f t="shared" si="1"/>
        <v/>
      </c>
    </row>
    <row r="91" spans="1:34" x14ac:dyDescent="0.2">
      <c r="A91" s="5">
        <v>88</v>
      </c>
      <c r="B91" s="6" t="s">
        <v>117</v>
      </c>
      <c r="C91" s="6" t="s">
        <v>312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18">
        <v>1</v>
      </c>
      <c r="N91" s="18">
        <v>1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40">
        <v>0</v>
      </c>
      <c r="AB91" s="8">
        <v>0</v>
      </c>
      <c r="AC91" s="27"/>
      <c r="AD91" s="27"/>
      <c r="AE91" s="46"/>
      <c r="AF91" s="46"/>
      <c r="AG91" s="46"/>
      <c r="AH91" s="27" t="str">
        <f t="shared" si="1"/>
        <v xml:space="preserve">2005, 2006, </v>
      </c>
    </row>
    <row r="92" spans="1:34" x14ac:dyDescent="0.2">
      <c r="A92" s="5">
        <v>89</v>
      </c>
      <c r="B92" s="6" t="s">
        <v>118</v>
      </c>
      <c r="C92" s="6" t="s">
        <v>313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40">
        <v>0</v>
      </c>
      <c r="AB92" s="8">
        <v>0</v>
      </c>
      <c r="AC92" s="27"/>
      <c r="AD92" s="27"/>
      <c r="AE92" s="46"/>
      <c r="AF92" s="46"/>
      <c r="AG92" s="46"/>
      <c r="AH92" s="27" t="str">
        <f t="shared" si="1"/>
        <v/>
      </c>
    </row>
    <row r="93" spans="1:34" x14ac:dyDescent="0.2">
      <c r="A93" s="5">
        <v>90</v>
      </c>
      <c r="B93" s="6" t="s">
        <v>119</v>
      </c>
      <c r="C93" s="6" t="s">
        <v>314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40">
        <v>0</v>
      </c>
      <c r="AB93" s="8">
        <v>0</v>
      </c>
      <c r="AC93" s="27"/>
      <c r="AD93" s="27"/>
      <c r="AE93" s="46"/>
      <c r="AF93" s="46"/>
      <c r="AG93" s="46"/>
      <c r="AH93" s="27" t="str">
        <f t="shared" si="1"/>
        <v/>
      </c>
    </row>
    <row r="94" spans="1:34" x14ac:dyDescent="0.2">
      <c r="A94" s="5">
        <v>91</v>
      </c>
      <c r="B94" s="6" t="s">
        <v>120</v>
      </c>
      <c r="C94" s="6" t="s">
        <v>315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40">
        <v>0</v>
      </c>
      <c r="AB94" s="8">
        <v>0</v>
      </c>
      <c r="AC94" s="27"/>
      <c r="AD94" s="27"/>
      <c r="AE94" s="46"/>
      <c r="AF94" s="46"/>
      <c r="AG94" s="46"/>
      <c r="AH94" s="27" t="str">
        <f t="shared" si="1"/>
        <v/>
      </c>
    </row>
    <row r="95" spans="1:34" x14ac:dyDescent="0.2">
      <c r="A95" s="5">
        <v>92</v>
      </c>
      <c r="B95" s="6" t="s">
        <v>121</v>
      </c>
      <c r="C95" s="6" t="s">
        <v>316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40">
        <v>0</v>
      </c>
      <c r="AB95" s="8">
        <v>0</v>
      </c>
      <c r="AC95" s="27"/>
      <c r="AD95" s="27"/>
      <c r="AE95" s="46"/>
      <c r="AF95" s="46"/>
      <c r="AG95" s="46"/>
      <c r="AH95" s="27" t="str">
        <f t="shared" si="1"/>
        <v/>
      </c>
    </row>
    <row r="96" spans="1:34" x14ac:dyDescent="0.2">
      <c r="A96" s="5">
        <v>93</v>
      </c>
      <c r="B96" s="6" t="s">
        <v>122</v>
      </c>
      <c r="C96" s="6" t="s">
        <v>317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40">
        <v>0</v>
      </c>
      <c r="AB96" s="8">
        <v>0</v>
      </c>
      <c r="AC96" s="27"/>
      <c r="AD96" s="27"/>
      <c r="AE96" s="46"/>
      <c r="AF96" s="46"/>
      <c r="AG96" s="46"/>
      <c r="AH96" s="27" t="str">
        <f t="shared" si="1"/>
        <v/>
      </c>
    </row>
    <row r="97" spans="1:34" x14ac:dyDescent="0.2">
      <c r="A97" s="5">
        <v>94</v>
      </c>
      <c r="B97" s="6" t="s">
        <v>123</v>
      </c>
      <c r="C97" s="6" t="s">
        <v>318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18">
        <v>1</v>
      </c>
      <c r="T97" s="8">
        <v>0</v>
      </c>
      <c r="U97" s="8">
        <v>0</v>
      </c>
      <c r="V97" s="18">
        <v>1</v>
      </c>
      <c r="W97" s="8">
        <v>0</v>
      </c>
      <c r="X97" s="8">
        <v>0</v>
      </c>
      <c r="Y97" s="8">
        <v>0</v>
      </c>
      <c r="Z97" s="8">
        <v>0</v>
      </c>
      <c r="AA97" s="40">
        <v>0</v>
      </c>
      <c r="AB97" s="8">
        <v>0</v>
      </c>
      <c r="AC97" s="27"/>
      <c r="AD97" s="27"/>
      <c r="AE97" s="46"/>
      <c r="AF97" s="46"/>
      <c r="AG97" s="46"/>
      <c r="AH97" s="27" t="str">
        <f t="shared" si="1"/>
        <v xml:space="preserve">2011, 2014, </v>
      </c>
    </row>
    <row r="98" spans="1:34" x14ac:dyDescent="0.2">
      <c r="A98" s="5">
        <v>95</v>
      </c>
      <c r="B98" s="6" t="s">
        <v>124</v>
      </c>
      <c r="C98" s="6" t="s">
        <v>319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18">
        <v>1</v>
      </c>
      <c r="O98" s="18">
        <v>1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18">
        <v>1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40">
        <v>0</v>
      </c>
      <c r="AB98" s="8">
        <v>0</v>
      </c>
      <c r="AC98" s="27"/>
      <c r="AD98" s="27"/>
      <c r="AE98" s="46"/>
      <c r="AF98" s="46"/>
      <c r="AG98" s="46"/>
      <c r="AH98" s="27" t="str">
        <f t="shared" si="1"/>
        <v xml:space="preserve">2006, 2007, 2013, </v>
      </c>
    </row>
    <row r="99" spans="1:34" x14ac:dyDescent="0.2">
      <c r="A99" s="5">
        <v>96</v>
      </c>
      <c r="B99" s="6" t="s">
        <v>125</v>
      </c>
      <c r="C99" s="6" t="s">
        <v>320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40">
        <v>0</v>
      </c>
      <c r="AB99" s="8">
        <v>0</v>
      </c>
      <c r="AC99" s="27"/>
      <c r="AD99" s="27"/>
      <c r="AE99" s="46"/>
      <c r="AF99" s="46"/>
      <c r="AG99" s="46"/>
      <c r="AH99" s="27" t="str">
        <f t="shared" si="1"/>
        <v/>
      </c>
    </row>
    <row r="100" spans="1:34" x14ac:dyDescent="0.2">
      <c r="A100" s="5">
        <v>97</v>
      </c>
      <c r="B100" s="6" t="s">
        <v>126</v>
      </c>
      <c r="C100" s="6" t="s">
        <v>321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40">
        <v>0</v>
      </c>
      <c r="AB100" s="8">
        <v>0</v>
      </c>
      <c r="AC100" s="27"/>
      <c r="AD100" s="27"/>
      <c r="AE100" s="46"/>
      <c r="AF100" s="46"/>
      <c r="AG100" s="46"/>
      <c r="AH100" s="27" t="str">
        <f t="shared" si="1"/>
        <v/>
      </c>
    </row>
    <row r="101" spans="1:34" x14ac:dyDescent="0.2">
      <c r="A101" s="5">
        <v>98</v>
      </c>
      <c r="B101" s="6" t="s">
        <v>127</v>
      </c>
      <c r="C101" s="6" t="s">
        <v>322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40">
        <v>0</v>
      </c>
      <c r="AB101" s="8">
        <v>0</v>
      </c>
      <c r="AC101" s="27"/>
      <c r="AD101" s="27"/>
      <c r="AE101" s="46"/>
      <c r="AF101" s="46"/>
      <c r="AG101" s="46"/>
      <c r="AH101" s="27" t="str">
        <f t="shared" si="1"/>
        <v/>
      </c>
    </row>
    <row r="102" spans="1:34" x14ac:dyDescent="0.2">
      <c r="A102" s="5">
        <v>99</v>
      </c>
      <c r="B102" s="9" t="s">
        <v>128</v>
      </c>
      <c r="C102" s="6" t="s">
        <v>323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40">
        <v>0</v>
      </c>
      <c r="AB102" s="8">
        <v>0</v>
      </c>
      <c r="AC102" s="27"/>
      <c r="AD102" s="27"/>
      <c r="AE102" s="46"/>
      <c r="AF102" s="46"/>
      <c r="AG102" s="46"/>
      <c r="AH102" s="27" t="str">
        <f t="shared" si="1"/>
        <v/>
      </c>
    </row>
    <row r="103" spans="1:34" x14ac:dyDescent="0.2">
      <c r="A103" s="5">
        <v>100</v>
      </c>
      <c r="B103" s="6" t="s">
        <v>129</v>
      </c>
      <c r="C103" s="6" t="s">
        <v>324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40">
        <v>0</v>
      </c>
      <c r="AB103" s="8">
        <v>0</v>
      </c>
      <c r="AC103" s="27"/>
      <c r="AD103" s="27"/>
      <c r="AE103" s="46"/>
      <c r="AF103" s="46"/>
      <c r="AG103" s="46"/>
      <c r="AH103" s="27" t="str">
        <f t="shared" si="1"/>
        <v/>
      </c>
    </row>
    <row r="104" spans="1:34" x14ac:dyDescent="0.2">
      <c r="A104" s="5">
        <v>101</v>
      </c>
      <c r="B104" s="6" t="s">
        <v>130</v>
      </c>
      <c r="C104" s="6" t="s">
        <v>325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18">
        <v>1</v>
      </c>
      <c r="W104" s="18">
        <v>1</v>
      </c>
      <c r="X104" s="18">
        <v>1</v>
      </c>
      <c r="Y104" s="18">
        <v>1</v>
      </c>
      <c r="Z104" s="19">
        <v>1</v>
      </c>
      <c r="AA104" s="40">
        <v>0</v>
      </c>
      <c r="AB104" s="8">
        <v>0</v>
      </c>
      <c r="AC104" s="27"/>
      <c r="AD104" s="27"/>
      <c r="AE104" s="46"/>
      <c r="AF104" s="46"/>
      <c r="AG104" s="46"/>
      <c r="AH104" s="27" t="str">
        <f t="shared" si="1"/>
        <v xml:space="preserve">2014, 2015, 2016, 2017, 2018, </v>
      </c>
    </row>
    <row r="105" spans="1:34" x14ac:dyDescent="0.2">
      <c r="A105" s="5">
        <v>102</v>
      </c>
      <c r="B105" s="6" t="s">
        <v>131</v>
      </c>
      <c r="C105" s="6" t="s">
        <v>326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18">
        <v>1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19">
        <v>1</v>
      </c>
      <c r="Y105" s="19">
        <v>1</v>
      </c>
      <c r="Z105" s="8">
        <v>0</v>
      </c>
      <c r="AA105" s="40">
        <v>0</v>
      </c>
      <c r="AB105" s="8">
        <v>0</v>
      </c>
      <c r="AC105" s="27"/>
      <c r="AD105" s="27"/>
      <c r="AE105" s="46"/>
      <c r="AF105" s="46"/>
      <c r="AG105" s="46"/>
      <c r="AH105" s="27" t="str">
        <f t="shared" si="1"/>
        <v xml:space="preserve">2008, 2016, 2017, </v>
      </c>
    </row>
    <row r="106" spans="1:34" x14ac:dyDescent="0.2">
      <c r="A106" s="5">
        <v>103</v>
      </c>
      <c r="B106" s="6" t="s">
        <v>132</v>
      </c>
      <c r="C106" s="6" t="s">
        <v>327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19">
        <v>1</v>
      </c>
      <c r="N106" s="8">
        <v>0</v>
      </c>
      <c r="O106" s="19">
        <v>1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19">
        <v>1</v>
      </c>
      <c r="V106" s="8">
        <v>0</v>
      </c>
      <c r="W106" s="8">
        <v>0</v>
      </c>
      <c r="X106" s="19">
        <v>1</v>
      </c>
      <c r="Y106" s="8">
        <v>0</v>
      </c>
      <c r="Z106" s="8">
        <v>0</v>
      </c>
      <c r="AA106" s="40">
        <v>0</v>
      </c>
      <c r="AB106" s="8">
        <v>1</v>
      </c>
      <c r="AC106" s="27"/>
      <c r="AD106" s="27"/>
      <c r="AE106" s="46"/>
      <c r="AF106" s="46"/>
      <c r="AG106" s="46"/>
      <c r="AH106" s="27" t="str">
        <f t="shared" si="1"/>
        <v xml:space="preserve">2005, 2007, 2013, 2016, 2020, </v>
      </c>
    </row>
    <row r="107" spans="1:34" x14ac:dyDescent="0.2">
      <c r="A107" s="5">
        <v>104</v>
      </c>
      <c r="B107" s="9" t="s">
        <v>133</v>
      </c>
      <c r="C107" s="6" t="s">
        <v>328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19">
        <v>1</v>
      </c>
      <c r="N107" s="8">
        <v>0</v>
      </c>
      <c r="O107" s="19">
        <v>1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19">
        <v>1</v>
      </c>
      <c r="V107" s="8">
        <v>0</v>
      </c>
      <c r="W107" s="8">
        <v>0</v>
      </c>
      <c r="X107" s="19">
        <v>1</v>
      </c>
      <c r="Y107" s="8">
        <v>0</v>
      </c>
      <c r="Z107" s="8">
        <v>0</v>
      </c>
      <c r="AA107" s="40">
        <v>0</v>
      </c>
      <c r="AB107" s="8">
        <v>0</v>
      </c>
      <c r="AC107" s="27"/>
      <c r="AD107" s="27"/>
      <c r="AE107" s="46"/>
      <c r="AF107" s="46"/>
      <c r="AG107" s="46"/>
      <c r="AH107" s="27" t="str">
        <f t="shared" si="1"/>
        <v xml:space="preserve">2005, 2007, 2013, 2016, </v>
      </c>
    </row>
    <row r="108" spans="1:34" x14ac:dyDescent="0.2">
      <c r="A108" s="5">
        <v>105</v>
      </c>
      <c r="B108" s="6" t="s">
        <v>134</v>
      </c>
      <c r="C108" s="6" t="s">
        <v>329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40">
        <v>0</v>
      </c>
      <c r="AB108" s="8">
        <v>0</v>
      </c>
      <c r="AC108" s="27"/>
      <c r="AD108" s="27"/>
      <c r="AE108" s="46"/>
      <c r="AF108" s="46"/>
      <c r="AG108" s="46"/>
      <c r="AH108" s="27" t="str">
        <f t="shared" si="1"/>
        <v/>
      </c>
    </row>
    <row r="109" spans="1:34" x14ac:dyDescent="0.2">
      <c r="A109" s="5">
        <v>106</v>
      </c>
      <c r="B109" s="6" t="s">
        <v>135</v>
      </c>
      <c r="C109" s="6" t="s">
        <v>330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19">
        <v>1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19">
        <v>1</v>
      </c>
      <c r="P109" s="18">
        <v>1</v>
      </c>
      <c r="Q109" s="8">
        <v>0</v>
      </c>
      <c r="R109" s="8">
        <v>0</v>
      </c>
      <c r="S109" s="8">
        <v>0</v>
      </c>
      <c r="T109" s="19">
        <v>1</v>
      </c>
      <c r="U109" s="19">
        <v>1</v>
      </c>
      <c r="V109" s="19">
        <v>1</v>
      </c>
      <c r="W109" s="18">
        <v>1</v>
      </c>
      <c r="X109" s="19">
        <v>1</v>
      </c>
      <c r="Y109" s="18">
        <v>1</v>
      </c>
      <c r="Z109" s="19">
        <v>1</v>
      </c>
      <c r="AA109" s="41">
        <v>1</v>
      </c>
      <c r="AB109" s="19">
        <v>0</v>
      </c>
      <c r="AC109" s="44"/>
      <c r="AD109" s="44"/>
      <c r="AE109" s="46"/>
      <c r="AF109" s="46"/>
      <c r="AG109" s="46"/>
      <c r="AH109" s="27" t="str">
        <f t="shared" si="1"/>
        <v xml:space="preserve">2001, 2007, 2008, 2012, 2013, 2014, 2015, 2016, 2017, 2018, 2019, </v>
      </c>
    </row>
    <row r="110" spans="1:34" x14ac:dyDescent="0.2">
      <c r="A110" s="5">
        <v>107</v>
      </c>
      <c r="B110" s="6" t="s">
        <v>136</v>
      </c>
      <c r="C110" s="6" t="s">
        <v>331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19">
        <v>1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19">
        <v>1</v>
      </c>
      <c r="X110" s="8">
        <v>0</v>
      </c>
      <c r="Y110" s="8">
        <v>0</v>
      </c>
      <c r="Z110" s="8">
        <v>0</v>
      </c>
      <c r="AA110" s="40">
        <v>0</v>
      </c>
      <c r="AB110" s="8">
        <v>0</v>
      </c>
      <c r="AC110" s="27"/>
      <c r="AD110" s="27"/>
      <c r="AE110" s="46"/>
      <c r="AF110" s="46"/>
      <c r="AG110" s="46"/>
      <c r="AH110" s="27" t="str">
        <f t="shared" si="1"/>
        <v xml:space="preserve">2005, 2015, </v>
      </c>
    </row>
    <row r="111" spans="1:34" x14ac:dyDescent="0.2">
      <c r="A111" s="5">
        <v>108</v>
      </c>
      <c r="B111" s="6" t="s">
        <v>137</v>
      </c>
      <c r="C111" s="6" t="s">
        <v>332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40">
        <v>0</v>
      </c>
      <c r="AB111" s="8">
        <v>0</v>
      </c>
      <c r="AC111" s="27"/>
      <c r="AD111" s="27"/>
      <c r="AE111" s="46"/>
      <c r="AF111" s="46"/>
      <c r="AG111" s="46"/>
      <c r="AH111" s="27" t="str">
        <f t="shared" si="1"/>
        <v/>
      </c>
    </row>
    <row r="112" spans="1:34" x14ac:dyDescent="0.2">
      <c r="A112" s="5">
        <v>109</v>
      </c>
      <c r="B112" s="6" t="s">
        <v>138</v>
      </c>
      <c r="C112" s="6" t="s">
        <v>333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19">
        <v>1</v>
      </c>
      <c r="N112" s="19">
        <v>1</v>
      </c>
      <c r="O112" s="19">
        <v>1</v>
      </c>
      <c r="P112" s="8">
        <v>0</v>
      </c>
      <c r="Q112" s="8">
        <v>0</v>
      </c>
      <c r="R112" s="8">
        <v>0</v>
      </c>
      <c r="S112" s="18">
        <v>1</v>
      </c>
      <c r="T112" s="8">
        <v>0</v>
      </c>
      <c r="U112" s="8">
        <v>0</v>
      </c>
      <c r="V112" s="8">
        <v>0</v>
      </c>
      <c r="W112" s="8">
        <v>0</v>
      </c>
      <c r="X112" s="19">
        <v>1</v>
      </c>
      <c r="Y112" s="19">
        <v>1</v>
      </c>
      <c r="Z112" s="19">
        <v>1</v>
      </c>
      <c r="AA112" s="40">
        <v>0</v>
      </c>
      <c r="AB112" s="8">
        <v>0</v>
      </c>
      <c r="AC112" s="27"/>
      <c r="AD112" s="27"/>
      <c r="AE112" s="46"/>
      <c r="AF112" s="46"/>
      <c r="AG112" s="46"/>
      <c r="AH112" s="27" t="str">
        <f t="shared" si="1"/>
        <v xml:space="preserve">2005, 2006, 2007, 2011, 2016, 2017, 2018, </v>
      </c>
    </row>
    <row r="113" spans="1:34" x14ac:dyDescent="0.2">
      <c r="A113" s="5">
        <v>110</v>
      </c>
      <c r="B113" s="9" t="s">
        <v>139</v>
      </c>
      <c r="C113" s="6" t="s">
        <v>334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19">
        <v>1</v>
      </c>
      <c r="AA113" s="40">
        <v>0</v>
      </c>
      <c r="AB113" s="8">
        <v>0</v>
      </c>
      <c r="AC113" s="27"/>
      <c r="AD113" s="27"/>
      <c r="AE113" s="46"/>
      <c r="AF113" s="46"/>
      <c r="AG113" s="46"/>
      <c r="AH113" s="27" t="str">
        <f t="shared" si="1"/>
        <v xml:space="preserve">2018, </v>
      </c>
    </row>
    <row r="114" spans="1:34" x14ac:dyDescent="0.2">
      <c r="A114" s="5">
        <v>111</v>
      </c>
      <c r="B114" s="6" t="s">
        <v>140</v>
      </c>
      <c r="C114" s="6" t="s">
        <v>335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40">
        <v>0</v>
      </c>
      <c r="AB114" s="8">
        <v>0</v>
      </c>
      <c r="AC114" s="27"/>
      <c r="AD114" s="27"/>
      <c r="AE114" s="46"/>
      <c r="AF114" s="46"/>
      <c r="AG114" s="46"/>
      <c r="AH114" s="27" t="str">
        <f t="shared" si="1"/>
        <v/>
      </c>
    </row>
    <row r="115" spans="1:34" x14ac:dyDescent="0.2">
      <c r="A115" s="5">
        <v>112</v>
      </c>
      <c r="B115" s="13" t="s">
        <v>141</v>
      </c>
      <c r="C115" s="6" t="s">
        <v>336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40">
        <v>0</v>
      </c>
      <c r="AB115" s="8">
        <v>0</v>
      </c>
      <c r="AC115" s="27"/>
      <c r="AD115" s="27"/>
      <c r="AE115" s="46"/>
      <c r="AF115" s="46"/>
      <c r="AG115" s="46"/>
      <c r="AH115" s="27" t="str">
        <f t="shared" si="1"/>
        <v/>
      </c>
    </row>
    <row r="116" spans="1:34" x14ac:dyDescent="0.2">
      <c r="A116" s="5">
        <v>113</v>
      </c>
      <c r="B116" s="11" t="s">
        <v>142</v>
      </c>
      <c r="C116" s="6" t="s">
        <v>337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40">
        <v>0</v>
      </c>
      <c r="AB116" s="8">
        <v>0</v>
      </c>
      <c r="AC116" s="27"/>
      <c r="AD116" s="27"/>
      <c r="AE116" s="46"/>
      <c r="AF116" s="46"/>
      <c r="AG116" s="46"/>
      <c r="AH116" s="27" t="str">
        <f t="shared" si="1"/>
        <v/>
      </c>
    </row>
    <row r="117" spans="1:34" x14ac:dyDescent="0.2">
      <c r="A117" s="5">
        <v>114</v>
      </c>
      <c r="B117" s="6" t="s">
        <v>143</v>
      </c>
      <c r="C117" s="6" t="s">
        <v>338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40">
        <v>0</v>
      </c>
      <c r="AB117" s="8">
        <v>0</v>
      </c>
      <c r="AC117" s="27"/>
      <c r="AD117" s="27"/>
      <c r="AE117" s="46"/>
      <c r="AF117" s="46"/>
      <c r="AG117" s="46"/>
      <c r="AH117" s="27" t="str">
        <f t="shared" si="1"/>
        <v/>
      </c>
    </row>
    <row r="118" spans="1:34" x14ac:dyDescent="0.2">
      <c r="A118" s="5">
        <v>115</v>
      </c>
      <c r="B118" s="6" t="s">
        <v>144</v>
      </c>
      <c r="C118" s="6" t="s">
        <v>339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19">
        <v>1</v>
      </c>
      <c r="Q118" s="19">
        <v>1</v>
      </c>
      <c r="R118" s="19">
        <v>1</v>
      </c>
      <c r="S118" s="19">
        <v>1</v>
      </c>
      <c r="T118" s="19">
        <v>1</v>
      </c>
      <c r="U118" s="19">
        <v>1</v>
      </c>
      <c r="V118" s="19">
        <v>1</v>
      </c>
      <c r="W118" s="19">
        <v>1</v>
      </c>
      <c r="X118" s="19">
        <v>1</v>
      </c>
      <c r="Y118" s="8">
        <v>0</v>
      </c>
      <c r="Z118" s="8">
        <v>0</v>
      </c>
      <c r="AA118" s="40">
        <v>0</v>
      </c>
      <c r="AB118" s="8">
        <v>0</v>
      </c>
      <c r="AC118" s="27"/>
      <c r="AD118" s="27"/>
      <c r="AE118" s="46"/>
      <c r="AF118" s="46"/>
      <c r="AG118" s="46"/>
      <c r="AH118" s="27" t="str">
        <f t="shared" si="1"/>
        <v xml:space="preserve">2008, 2009, 2010, 2011, 2012, 2013, 2014, 2015, 2016, </v>
      </c>
    </row>
    <row r="119" spans="1:34" x14ac:dyDescent="0.2">
      <c r="A119" s="5">
        <v>116</v>
      </c>
      <c r="B119" s="13" t="s">
        <v>145</v>
      </c>
      <c r="C119" s="6" t="s">
        <v>340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40">
        <v>0</v>
      </c>
      <c r="AB119" s="8">
        <v>0</v>
      </c>
      <c r="AC119" s="27"/>
      <c r="AD119" s="27"/>
      <c r="AE119" s="46"/>
      <c r="AF119" s="46"/>
      <c r="AG119" s="46"/>
      <c r="AH119" s="27" t="str">
        <f t="shared" si="1"/>
        <v/>
      </c>
    </row>
    <row r="120" spans="1:34" x14ac:dyDescent="0.2">
      <c r="A120" s="5">
        <v>117</v>
      </c>
      <c r="B120" s="6" t="s">
        <v>146</v>
      </c>
      <c r="C120" s="6" t="s">
        <v>341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19">
        <v>1</v>
      </c>
      <c r="Y120" s="8">
        <v>0</v>
      </c>
      <c r="Z120" s="8">
        <v>0</v>
      </c>
      <c r="AA120" s="40">
        <v>0</v>
      </c>
      <c r="AB120" s="8">
        <v>0</v>
      </c>
      <c r="AC120" s="27"/>
      <c r="AD120" s="27"/>
      <c r="AE120" s="46"/>
      <c r="AF120" s="46"/>
      <c r="AG120" s="46"/>
      <c r="AH120" s="27" t="str">
        <f t="shared" si="1"/>
        <v xml:space="preserve">2016, </v>
      </c>
    </row>
    <row r="121" spans="1:34" x14ac:dyDescent="0.2">
      <c r="A121" s="5">
        <v>118</v>
      </c>
      <c r="B121" s="9" t="s">
        <v>147</v>
      </c>
      <c r="C121" s="6" t="s">
        <v>342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40">
        <v>0</v>
      </c>
      <c r="AB121" s="8">
        <v>0</v>
      </c>
      <c r="AC121" s="27"/>
      <c r="AD121" s="27"/>
      <c r="AE121" s="46"/>
      <c r="AF121" s="46"/>
      <c r="AG121" s="46"/>
      <c r="AH121" s="27" t="str">
        <f t="shared" si="1"/>
        <v/>
      </c>
    </row>
    <row r="122" spans="1:34" x14ac:dyDescent="0.2">
      <c r="A122" s="5">
        <v>119</v>
      </c>
      <c r="B122" s="13" t="s">
        <v>148</v>
      </c>
      <c r="C122" s="6" t="s">
        <v>343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40">
        <v>0</v>
      </c>
      <c r="AB122" s="8">
        <v>0</v>
      </c>
      <c r="AC122" s="27"/>
      <c r="AD122" s="27"/>
      <c r="AE122" s="46"/>
      <c r="AF122" s="46"/>
      <c r="AG122" s="46"/>
      <c r="AH122" s="27" t="str">
        <f t="shared" si="1"/>
        <v/>
      </c>
    </row>
    <row r="123" spans="1:34" x14ac:dyDescent="0.2">
      <c r="A123" s="5">
        <v>120</v>
      </c>
      <c r="B123" s="8" t="s">
        <v>149</v>
      </c>
      <c r="C123" s="6" t="s">
        <v>344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40">
        <v>0</v>
      </c>
      <c r="AB123" s="8">
        <v>0</v>
      </c>
      <c r="AC123" s="27"/>
      <c r="AD123" s="27"/>
      <c r="AE123" s="46"/>
      <c r="AF123" s="46"/>
      <c r="AG123" s="46"/>
      <c r="AH123" s="27" t="str">
        <f t="shared" si="1"/>
        <v/>
      </c>
    </row>
    <row r="124" spans="1:34" x14ac:dyDescent="0.2">
      <c r="A124" s="5">
        <v>121</v>
      </c>
      <c r="B124" s="6" t="s">
        <v>150</v>
      </c>
      <c r="C124" s="6" t="s">
        <v>345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40">
        <v>0</v>
      </c>
      <c r="AB124" s="8">
        <v>0</v>
      </c>
      <c r="AC124" s="27"/>
      <c r="AD124" s="27"/>
      <c r="AE124" s="46"/>
      <c r="AF124" s="46"/>
      <c r="AG124" s="46"/>
      <c r="AH124" s="27" t="str">
        <f t="shared" si="1"/>
        <v/>
      </c>
    </row>
    <row r="125" spans="1:34" x14ac:dyDescent="0.2">
      <c r="A125" s="5">
        <v>122</v>
      </c>
      <c r="B125" s="6" t="s">
        <v>151</v>
      </c>
      <c r="C125" s="6" t="s">
        <v>346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40">
        <v>0</v>
      </c>
      <c r="AB125" s="8">
        <v>0</v>
      </c>
      <c r="AC125" s="27"/>
      <c r="AD125" s="27"/>
      <c r="AE125" s="46"/>
      <c r="AF125" s="46"/>
      <c r="AG125" s="46"/>
      <c r="AH125" s="27" t="str">
        <f t="shared" si="1"/>
        <v/>
      </c>
    </row>
    <row r="126" spans="1:34" x14ac:dyDescent="0.2">
      <c r="A126" s="5">
        <v>123</v>
      </c>
      <c r="B126" s="13" t="s">
        <v>152</v>
      </c>
      <c r="C126" s="6" t="s">
        <v>347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40">
        <v>0</v>
      </c>
      <c r="AB126" s="8">
        <v>0</v>
      </c>
      <c r="AC126" s="27"/>
      <c r="AD126" s="27"/>
      <c r="AE126" s="46"/>
      <c r="AF126" s="46"/>
      <c r="AG126" s="46"/>
      <c r="AH126" s="27" t="str">
        <f t="shared" si="1"/>
        <v/>
      </c>
    </row>
    <row r="127" spans="1:34" x14ac:dyDescent="0.2">
      <c r="A127" s="5">
        <v>124</v>
      </c>
      <c r="B127" s="13" t="s">
        <v>153</v>
      </c>
      <c r="C127" s="6" t="s">
        <v>348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40">
        <v>0</v>
      </c>
      <c r="AB127" s="8">
        <v>0</v>
      </c>
      <c r="AC127" s="27"/>
      <c r="AD127" s="27"/>
      <c r="AE127" s="46"/>
      <c r="AF127" s="46"/>
      <c r="AG127" s="46"/>
      <c r="AH127" s="27" t="str">
        <f t="shared" si="1"/>
        <v/>
      </c>
    </row>
    <row r="128" spans="1:34" x14ac:dyDescent="0.2">
      <c r="A128" s="5">
        <v>125</v>
      </c>
      <c r="B128" s="13" t="s">
        <v>154</v>
      </c>
      <c r="C128" s="6" t="s">
        <v>349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31">
        <v>0</v>
      </c>
      <c r="R128" s="8">
        <v>0</v>
      </c>
      <c r="S128" s="8">
        <v>0</v>
      </c>
      <c r="T128" s="8">
        <v>0</v>
      </c>
      <c r="U128" s="8">
        <v>0</v>
      </c>
      <c r="V128" s="18">
        <v>1</v>
      </c>
      <c r="W128" s="8">
        <v>0</v>
      </c>
      <c r="X128" s="19">
        <v>1</v>
      </c>
      <c r="Y128" s="8">
        <v>0</v>
      </c>
      <c r="Z128" s="8">
        <v>0</v>
      </c>
      <c r="AA128" s="40">
        <v>0</v>
      </c>
      <c r="AB128" s="8">
        <v>0</v>
      </c>
      <c r="AC128" s="27"/>
      <c r="AD128" s="27"/>
      <c r="AE128" s="46"/>
      <c r="AF128" s="46"/>
      <c r="AG128" s="46"/>
      <c r="AH128" s="27" t="str">
        <f t="shared" si="1"/>
        <v xml:space="preserve">2014, 2016, </v>
      </c>
    </row>
    <row r="129" spans="1:34" x14ac:dyDescent="0.2">
      <c r="A129" s="5">
        <v>126</v>
      </c>
      <c r="B129" s="13" t="s">
        <v>155</v>
      </c>
      <c r="C129" s="6" t="s">
        <v>350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19">
        <v>1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40">
        <v>0</v>
      </c>
      <c r="AB129" s="8">
        <v>0</v>
      </c>
      <c r="AC129" s="27"/>
      <c r="AD129" s="27"/>
      <c r="AE129" s="46"/>
      <c r="AF129" s="46"/>
      <c r="AG129" s="46"/>
      <c r="AH129" s="27" t="str">
        <f t="shared" si="1"/>
        <v xml:space="preserve">2008, </v>
      </c>
    </row>
    <row r="130" spans="1:34" x14ac:dyDescent="0.2">
      <c r="A130" s="5">
        <v>127</v>
      </c>
      <c r="B130" s="13" t="s">
        <v>156</v>
      </c>
      <c r="C130" s="6" t="s">
        <v>351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40">
        <v>0</v>
      </c>
      <c r="AB130" s="8">
        <v>0</v>
      </c>
      <c r="AC130" s="27"/>
      <c r="AD130" s="27"/>
      <c r="AE130" s="46"/>
      <c r="AF130" s="46"/>
      <c r="AG130" s="46"/>
      <c r="AH130" s="27" t="str">
        <f t="shared" si="1"/>
        <v/>
      </c>
    </row>
    <row r="131" spans="1:34" x14ac:dyDescent="0.2">
      <c r="A131" s="5">
        <v>128</v>
      </c>
      <c r="B131" s="13" t="s">
        <v>157</v>
      </c>
      <c r="C131" s="6" t="s">
        <v>352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40">
        <v>0</v>
      </c>
      <c r="AB131" s="8">
        <v>0</v>
      </c>
      <c r="AC131" s="27"/>
      <c r="AD131" s="27"/>
      <c r="AE131" s="46"/>
      <c r="AF131" s="46"/>
      <c r="AG131" s="46"/>
      <c r="AH131" s="27" t="str">
        <f t="shared" si="1"/>
        <v/>
      </c>
    </row>
    <row r="132" spans="1:34" x14ac:dyDescent="0.2">
      <c r="A132" s="5">
        <v>129</v>
      </c>
      <c r="B132" s="13" t="s">
        <v>158</v>
      </c>
      <c r="C132" s="6" t="s">
        <v>353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40">
        <v>0</v>
      </c>
      <c r="AB132" s="8">
        <v>0</v>
      </c>
      <c r="AC132" s="27"/>
      <c r="AD132" s="27"/>
      <c r="AE132" s="46"/>
      <c r="AF132" s="46"/>
      <c r="AG132" s="46"/>
      <c r="AH132" s="27" t="str">
        <f t="shared" si="1"/>
        <v/>
      </c>
    </row>
    <row r="133" spans="1:34" x14ac:dyDescent="0.2">
      <c r="A133" s="5">
        <v>130</v>
      </c>
      <c r="B133" s="9" t="s">
        <v>159</v>
      </c>
      <c r="C133" s="6" t="s">
        <v>354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40">
        <v>0</v>
      </c>
      <c r="AB133" s="8">
        <v>0</v>
      </c>
      <c r="AC133" s="27"/>
      <c r="AD133" s="27"/>
      <c r="AE133" s="46"/>
      <c r="AF133" s="46"/>
      <c r="AG133" s="46"/>
      <c r="AH133" s="27" t="str">
        <f t="shared" ref="AH133:AH193" si="2">+IF($D133=1,RIGHT(D$3,4)&amp;", ","")&amp;IF($E133=1,RIGHT(E$3,4)&amp;", ","")&amp;IF($F133=1,RIGHT(F$3,4)&amp;", ","")&amp;IF($G133=1,RIGHT(G$3,4)&amp;", ","")&amp;IF($H133=1,RIGHT(H$3,4)&amp;", ","")&amp;IF($I133=1,RIGHT(I$3,4)&amp;", ","")&amp;IF($J133=1,RIGHT(J$3,4)&amp;", ","")&amp;IF($K133=1,RIGHT(K$3,4)&amp;", ","")&amp;IF($L133=1,RIGHT(L$3,4)&amp;", ","")&amp;IF($M133=1,RIGHT(M$3,4)&amp;", ","")&amp;IF($N133=1,RIGHT(N$3,4)&amp;", ","")&amp;IF($O133=1,RIGHT(O$3,4)&amp;", ","")&amp;IF($P133=1,RIGHT(P$3,4)&amp;", ","")&amp;IF($Q133=1,RIGHT(Q$3,4)&amp;", ","")&amp;IF($R133=1,RIGHT(R$3,4)&amp;", ","")&amp;IF($S133=1,RIGHT(S$3,4)&amp;", ","")&amp;IF($T133=1,RIGHT(T$3,4)&amp;", ","")&amp;IF($U133=1,RIGHT(U$3,4)&amp;", ","")&amp;IF($V133=1,RIGHT(V$3,4)&amp;", ","")&amp;IF($W133=1,RIGHT(W$3,4)&amp;", ","")&amp;IF($X133=1,RIGHT(X$3,4)&amp;", ","")&amp;IF($Y133=1,RIGHT(Y$3,4)&amp;", ","")&amp;IF($Z133=1, RIGHT(Z$3,4)&amp;", ", "")&amp;IF($AA133=1, RIGHT(AA$3,4)&amp;", ", "")&amp;IF($AB133=1, RIGHT(AB$3,4)&amp;", ", "") &amp;IF($AC133=1, RIGHT(AC$3,4)&amp;", ", "") &amp;IF($AD133=1, RIGHT(AD$3,4)&amp;", ", "")&amp;IF($AE133=1, RIGHT(AE$3,4)&amp;", ", "")&amp;IF($AF133=1, RIGHT(AF$3,4)&amp;", ", "")&amp;IF($AG133=1, RIGHT(AG$3,4)&amp;", ", "")</f>
        <v/>
      </c>
    </row>
    <row r="134" spans="1:34" x14ac:dyDescent="0.2">
      <c r="A134" s="5">
        <v>131</v>
      </c>
      <c r="B134" s="6" t="s">
        <v>160</v>
      </c>
      <c r="C134" s="6" t="s">
        <v>355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18">
        <v>1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40">
        <v>0</v>
      </c>
      <c r="AB134" s="8">
        <v>0</v>
      </c>
      <c r="AC134" s="27"/>
      <c r="AD134" s="27"/>
      <c r="AE134" s="46"/>
      <c r="AF134" s="46"/>
      <c r="AG134" s="46"/>
      <c r="AH134" s="27" t="str">
        <f t="shared" si="2"/>
        <v xml:space="preserve">2004, </v>
      </c>
    </row>
    <row r="135" spans="1:34" x14ac:dyDescent="0.2">
      <c r="A135" s="5">
        <v>132</v>
      </c>
      <c r="B135" s="6" t="s">
        <v>161</v>
      </c>
      <c r="C135" s="6" t="s">
        <v>356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19">
        <v>1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19">
        <v>1</v>
      </c>
      <c r="Y135" s="8">
        <v>0</v>
      </c>
      <c r="Z135" s="8">
        <v>0</v>
      </c>
      <c r="AA135" s="40">
        <v>0</v>
      </c>
      <c r="AB135" s="8">
        <v>0</v>
      </c>
      <c r="AC135" s="27"/>
      <c r="AD135" s="27"/>
      <c r="AE135" s="46"/>
      <c r="AF135" s="46"/>
      <c r="AG135" s="46"/>
      <c r="AH135" s="27" t="str">
        <f t="shared" si="2"/>
        <v xml:space="preserve">2006, 2016, </v>
      </c>
    </row>
    <row r="136" spans="1:34" x14ac:dyDescent="0.2">
      <c r="A136" s="5">
        <v>133</v>
      </c>
      <c r="B136" s="13" t="s">
        <v>162</v>
      </c>
      <c r="C136" s="6" t="s">
        <v>357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40">
        <v>0</v>
      </c>
      <c r="AB136" s="8">
        <v>0</v>
      </c>
      <c r="AC136" s="27"/>
      <c r="AD136" s="27"/>
      <c r="AE136" s="46"/>
      <c r="AF136" s="46"/>
      <c r="AG136" s="46"/>
      <c r="AH136" s="27" t="str">
        <f t="shared" si="2"/>
        <v/>
      </c>
    </row>
    <row r="137" spans="1:34" x14ac:dyDescent="0.2">
      <c r="A137" s="5">
        <v>134</v>
      </c>
      <c r="B137" s="13" t="s">
        <v>163</v>
      </c>
      <c r="C137" s="6" t="s">
        <v>358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40">
        <v>0</v>
      </c>
      <c r="AB137" s="8">
        <v>0</v>
      </c>
      <c r="AC137" s="27"/>
      <c r="AD137" s="27"/>
      <c r="AE137" s="46"/>
      <c r="AF137" s="46"/>
      <c r="AG137" s="46"/>
      <c r="AH137" s="27" t="str">
        <f t="shared" si="2"/>
        <v/>
      </c>
    </row>
    <row r="138" spans="1:34" x14ac:dyDescent="0.2">
      <c r="A138" s="5">
        <v>135</v>
      </c>
      <c r="B138" s="13" t="s">
        <v>164</v>
      </c>
      <c r="C138" s="6" t="s">
        <v>359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19">
        <v>1</v>
      </c>
      <c r="AA138" s="40">
        <v>0</v>
      </c>
      <c r="AB138" s="8">
        <v>0</v>
      </c>
      <c r="AC138" s="27"/>
      <c r="AD138" s="27"/>
      <c r="AE138" s="46"/>
      <c r="AF138" s="46"/>
      <c r="AG138" s="46"/>
      <c r="AH138" s="27" t="str">
        <f t="shared" si="2"/>
        <v xml:space="preserve">2018, </v>
      </c>
    </row>
    <row r="139" spans="1:34" x14ac:dyDescent="0.2">
      <c r="A139" s="5">
        <v>136</v>
      </c>
      <c r="B139" s="13" t="s">
        <v>165</v>
      </c>
      <c r="C139" s="6" t="s">
        <v>360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40">
        <v>0</v>
      </c>
      <c r="AB139" s="8">
        <v>0</v>
      </c>
      <c r="AC139" s="27"/>
      <c r="AD139" s="27"/>
      <c r="AE139" s="46"/>
      <c r="AF139" s="46"/>
      <c r="AG139" s="46"/>
      <c r="AH139" s="27" t="str">
        <f t="shared" si="2"/>
        <v/>
      </c>
    </row>
    <row r="140" spans="1:34" x14ac:dyDescent="0.2">
      <c r="A140" s="5">
        <v>137</v>
      </c>
      <c r="B140" s="20" t="s">
        <v>166</v>
      </c>
      <c r="C140" s="6" t="s">
        <v>361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40">
        <v>0</v>
      </c>
      <c r="AB140" s="8">
        <v>0</v>
      </c>
      <c r="AC140" s="27"/>
      <c r="AD140" s="27"/>
      <c r="AE140" s="46"/>
      <c r="AF140" s="46"/>
      <c r="AG140" s="46"/>
      <c r="AH140" s="27" t="str">
        <f t="shared" si="2"/>
        <v/>
      </c>
    </row>
    <row r="141" spans="1:34" x14ac:dyDescent="0.2">
      <c r="A141" s="5">
        <v>138</v>
      </c>
      <c r="B141" s="9" t="s">
        <v>167</v>
      </c>
      <c r="C141" s="6" t="s">
        <v>362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40">
        <v>0</v>
      </c>
      <c r="AB141" s="8">
        <v>0</v>
      </c>
      <c r="AC141" s="27">
        <v>1</v>
      </c>
      <c r="AD141" s="27">
        <v>1</v>
      </c>
      <c r="AE141" s="46">
        <v>1</v>
      </c>
      <c r="AF141" s="46"/>
      <c r="AG141" s="46"/>
      <c r="AH141" s="27" t="str">
        <f t="shared" si="2"/>
        <v xml:space="preserve">2021, 2022, 2023, </v>
      </c>
    </row>
    <row r="142" spans="1:34" x14ac:dyDescent="0.2">
      <c r="A142" s="5">
        <v>139</v>
      </c>
      <c r="B142" s="20" t="s">
        <v>168</v>
      </c>
      <c r="C142" s="6" t="s">
        <v>363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40">
        <v>0</v>
      </c>
      <c r="AB142" s="8">
        <v>0</v>
      </c>
      <c r="AC142" s="27"/>
      <c r="AD142" s="27"/>
      <c r="AE142" s="46"/>
      <c r="AF142" s="46"/>
      <c r="AG142" s="46"/>
      <c r="AH142" s="27" t="str">
        <f t="shared" si="2"/>
        <v/>
      </c>
    </row>
    <row r="143" spans="1:34" x14ac:dyDescent="0.2">
      <c r="A143" s="5">
        <v>140</v>
      </c>
      <c r="B143" s="20" t="s">
        <v>169</v>
      </c>
      <c r="C143" s="6" t="s">
        <v>364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40">
        <v>0</v>
      </c>
      <c r="AB143" s="8">
        <v>0</v>
      </c>
      <c r="AC143" s="27"/>
      <c r="AD143" s="27"/>
      <c r="AE143" s="46"/>
      <c r="AF143" s="46"/>
      <c r="AG143" s="46"/>
      <c r="AH143" s="27" t="str">
        <f t="shared" si="2"/>
        <v/>
      </c>
    </row>
    <row r="144" spans="1:34" x14ac:dyDescent="0.2">
      <c r="A144" s="5">
        <v>141</v>
      </c>
      <c r="B144" s="20" t="s">
        <v>170</v>
      </c>
      <c r="C144" s="6" t="s">
        <v>365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40">
        <v>0</v>
      </c>
      <c r="AB144" s="8">
        <v>0</v>
      </c>
      <c r="AC144" s="27"/>
      <c r="AD144" s="27"/>
      <c r="AE144" s="46"/>
      <c r="AF144" s="46"/>
      <c r="AG144" s="46"/>
      <c r="AH144" s="27" t="str">
        <f t="shared" si="2"/>
        <v/>
      </c>
    </row>
    <row r="145" spans="1:37" x14ac:dyDescent="0.2">
      <c r="A145" s="5">
        <v>142</v>
      </c>
      <c r="B145" s="20" t="s">
        <v>171</v>
      </c>
      <c r="C145" s="6" t="s">
        <v>366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40">
        <v>0</v>
      </c>
      <c r="AB145" s="8">
        <v>0</v>
      </c>
      <c r="AC145" s="27"/>
      <c r="AD145" s="27"/>
      <c r="AE145" s="46"/>
      <c r="AF145" s="46"/>
      <c r="AG145" s="46"/>
      <c r="AH145" s="27" t="str">
        <f t="shared" si="2"/>
        <v/>
      </c>
    </row>
    <row r="146" spans="1:37" ht="15.75" customHeight="1" x14ac:dyDescent="0.2">
      <c r="A146" s="5">
        <v>143</v>
      </c>
      <c r="B146" s="20" t="s">
        <v>172</v>
      </c>
      <c r="C146" s="6" t="s">
        <v>367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18">
        <v>1</v>
      </c>
      <c r="J146" s="8">
        <v>0</v>
      </c>
      <c r="K146" s="18">
        <v>1</v>
      </c>
      <c r="L146" s="8">
        <v>0</v>
      </c>
      <c r="M146" s="8">
        <v>0</v>
      </c>
      <c r="N146" s="8">
        <v>0</v>
      </c>
      <c r="O146" s="18">
        <v>1</v>
      </c>
      <c r="P146" s="8">
        <v>0</v>
      </c>
      <c r="Q146" s="18">
        <v>1</v>
      </c>
      <c r="R146" s="8">
        <v>0</v>
      </c>
      <c r="S146" s="19">
        <v>1</v>
      </c>
      <c r="T146" s="19">
        <v>1</v>
      </c>
      <c r="U146" s="19">
        <v>1</v>
      </c>
      <c r="V146" s="19">
        <v>1</v>
      </c>
      <c r="W146" s="33">
        <v>1</v>
      </c>
      <c r="X146" s="8">
        <v>0</v>
      </c>
      <c r="Y146" s="8">
        <v>0</v>
      </c>
      <c r="Z146" s="8">
        <v>0</v>
      </c>
      <c r="AA146" s="40">
        <v>0</v>
      </c>
      <c r="AB146" s="8">
        <v>0</v>
      </c>
      <c r="AC146" s="27"/>
      <c r="AD146" s="27"/>
      <c r="AE146" s="46"/>
      <c r="AF146" s="46"/>
      <c r="AG146" s="46"/>
      <c r="AH146" s="27" t="str">
        <f t="shared" si="2"/>
        <v xml:space="preserve">2001, 2003, 2007, 2009, 2011, 2012, 2013, 2014, 2015, </v>
      </c>
    </row>
    <row r="147" spans="1:37" x14ac:dyDescent="0.2">
      <c r="A147" s="5">
        <v>144</v>
      </c>
      <c r="B147" s="20" t="s">
        <v>173</v>
      </c>
      <c r="C147" s="6" t="s">
        <v>368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19">
        <v>1</v>
      </c>
      <c r="U147" s="8">
        <v>0</v>
      </c>
      <c r="V147" s="8">
        <v>0</v>
      </c>
      <c r="W147" s="19">
        <v>1</v>
      </c>
      <c r="X147" s="8">
        <v>0</v>
      </c>
      <c r="Y147" s="19">
        <v>1</v>
      </c>
      <c r="Z147" s="8">
        <v>0</v>
      </c>
      <c r="AA147" s="40">
        <v>0</v>
      </c>
      <c r="AB147" s="8">
        <v>0</v>
      </c>
      <c r="AC147" s="27"/>
      <c r="AD147" s="27"/>
      <c r="AE147" s="46"/>
      <c r="AF147" s="46"/>
      <c r="AG147" s="46"/>
      <c r="AH147" s="27" t="str">
        <f t="shared" si="2"/>
        <v xml:space="preserve">2012, 2015, 2017, </v>
      </c>
    </row>
    <row r="148" spans="1:37" x14ac:dyDescent="0.2">
      <c r="A148" s="5">
        <v>145</v>
      </c>
      <c r="B148" s="21" t="s">
        <v>174</v>
      </c>
      <c r="C148" s="6" t="s">
        <v>369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19">
        <v>1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18">
        <v>1</v>
      </c>
      <c r="S148" s="8">
        <v>0</v>
      </c>
      <c r="T148" s="8">
        <v>0</v>
      </c>
      <c r="U148" s="8">
        <v>0</v>
      </c>
      <c r="V148" s="8">
        <v>0</v>
      </c>
      <c r="W148" s="19">
        <v>1</v>
      </c>
      <c r="X148" s="8">
        <v>0</v>
      </c>
      <c r="Y148" s="8">
        <v>0</v>
      </c>
      <c r="Z148" s="8">
        <v>0</v>
      </c>
      <c r="AA148" s="40">
        <v>0</v>
      </c>
      <c r="AB148" s="8">
        <v>0</v>
      </c>
      <c r="AC148" s="27"/>
      <c r="AD148" s="27"/>
      <c r="AE148" s="46"/>
      <c r="AF148" s="46"/>
      <c r="AG148" s="46"/>
      <c r="AH148" s="27" t="str">
        <f t="shared" si="2"/>
        <v xml:space="preserve">2004, 2010, 2015, </v>
      </c>
    </row>
    <row r="149" spans="1:37" x14ac:dyDescent="0.2">
      <c r="A149" s="5">
        <v>146</v>
      </c>
      <c r="B149" s="24" t="s">
        <v>175</v>
      </c>
      <c r="C149" s="24" t="s">
        <v>370</v>
      </c>
      <c r="D149" s="24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0</v>
      </c>
      <c r="N149" s="24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X149" s="24">
        <v>0</v>
      </c>
      <c r="Y149" s="24">
        <v>0</v>
      </c>
      <c r="Z149" s="24">
        <v>0</v>
      </c>
      <c r="AA149" s="24">
        <v>0</v>
      </c>
      <c r="AB149" s="24">
        <v>0</v>
      </c>
      <c r="AE149" s="46"/>
      <c r="AF149" s="46"/>
      <c r="AG149" s="46"/>
      <c r="AH149" s="27" t="str">
        <f t="shared" si="2"/>
        <v/>
      </c>
      <c r="AI149" s="24"/>
    </row>
    <row r="150" spans="1:37" x14ac:dyDescent="0.2">
      <c r="A150" s="5">
        <v>147</v>
      </c>
      <c r="B150" s="24" t="s">
        <v>176</v>
      </c>
      <c r="C150" s="24" t="s">
        <v>371</v>
      </c>
      <c r="D150" s="24">
        <v>0</v>
      </c>
      <c r="E150" s="24">
        <v>0</v>
      </c>
      <c r="F150" s="24">
        <v>0</v>
      </c>
      <c r="G150" s="24">
        <v>0</v>
      </c>
      <c r="H150" s="24">
        <v>0</v>
      </c>
      <c r="I150" s="24">
        <v>0</v>
      </c>
      <c r="J150" s="24">
        <v>0</v>
      </c>
      <c r="K150" s="24">
        <v>0</v>
      </c>
      <c r="L150" s="24">
        <v>0</v>
      </c>
      <c r="M150" s="24">
        <v>0</v>
      </c>
      <c r="N150" s="24">
        <v>0</v>
      </c>
      <c r="O150" s="24">
        <v>0</v>
      </c>
      <c r="P150" s="24">
        <v>0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0</v>
      </c>
      <c r="W150" s="24">
        <v>0</v>
      </c>
      <c r="X150" s="24">
        <v>0</v>
      </c>
      <c r="Y150" s="24">
        <v>0</v>
      </c>
      <c r="Z150" s="24">
        <v>0</v>
      </c>
      <c r="AA150" s="24">
        <v>0</v>
      </c>
      <c r="AB150" s="24">
        <v>0</v>
      </c>
      <c r="AE150" s="46"/>
      <c r="AF150" s="46"/>
      <c r="AG150" s="46"/>
      <c r="AH150" s="27" t="str">
        <f t="shared" si="2"/>
        <v/>
      </c>
      <c r="AI150" s="24"/>
    </row>
    <row r="151" spans="1:37" x14ac:dyDescent="0.2">
      <c r="A151" s="5">
        <v>148</v>
      </c>
      <c r="B151" s="25" t="s">
        <v>177</v>
      </c>
      <c r="C151" s="25" t="s">
        <v>372</v>
      </c>
      <c r="D151" s="25">
        <v>0</v>
      </c>
      <c r="E151" s="25">
        <v>0</v>
      </c>
      <c r="F151" s="25">
        <v>0</v>
      </c>
      <c r="G151" s="25">
        <v>0</v>
      </c>
      <c r="H151" s="25">
        <v>0</v>
      </c>
      <c r="I151" s="25">
        <v>0</v>
      </c>
      <c r="J151" s="25">
        <v>0</v>
      </c>
      <c r="K151" s="25">
        <v>1</v>
      </c>
      <c r="L151" s="25">
        <v>0</v>
      </c>
      <c r="M151" s="25">
        <v>1</v>
      </c>
      <c r="N151" s="25">
        <v>0</v>
      </c>
      <c r="O151" s="25">
        <v>1</v>
      </c>
      <c r="P151" s="25">
        <v>0</v>
      </c>
      <c r="Q151" s="25">
        <v>0</v>
      </c>
      <c r="R151" s="25">
        <v>0</v>
      </c>
      <c r="S151" s="25">
        <v>0</v>
      </c>
      <c r="T151" s="25">
        <v>0</v>
      </c>
      <c r="U151" s="25">
        <v>1</v>
      </c>
      <c r="V151" s="25">
        <v>0</v>
      </c>
      <c r="W151" s="25">
        <v>0</v>
      </c>
      <c r="X151" s="25">
        <v>1</v>
      </c>
      <c r="Y151" s="25">
        <v>0</v>
      </c>
      <c r="Z151" s="25">
        <v>0</v>
      </c>
      <c r="AA151" s="25">
        <v>0</v>
      </c>
      <c r="AB151" s="25">
        <v>1</v>
      </c>
      <c r="AC151" s="15"/>
      <c r="AD151" s="15"/>
      <c r="AE151" s="46"/>
      <c r="AF151" s="46"/>
      <c r="AG151" s="46"/>
      <c r="AH151" s="27" t="str">
        <f t="shared" si="2"/>
        <v xml:space="preserve">2003, 2005, 2007, 2013, 2016, 2020, </v>
      </c>
      <c r="AI151" s="47" t="s">
        <v>373</v>
      </c>
    </row>
    <row r="152" spans="1:37" x14ac:dyDescent="0.2">
      <c r="A152" s="5">
        <v>149</v>
      </c>
      <c r="B152" s="24" t="s">
        <v>178</v>
      </c>
      <c r="C152" s="24" t="s">
        <v>374</v>
      </c>
      <c r="D152" s="24">
        <v>0</v>
      </c>
      <c r="E152" s="24">
        <v>0</v>
      </c>
      <c r="F152" s="24">
        <v>0</v>
      </c>
      <c r="G152" s="24">
        <v>0</v>
      </c>
      <c r="H152" s="24">
        <v>0</v>
      </c>
      <c r="I152" s="26">
        <v>1</v>
      </c>
      <c r="J152" s="26">
        <v>1</v>
      </c>
      <c r="K152" s="19">
        <v>2</v>
      </c>
      <c r="L152" s="26">
        <v>1</v>
      </c>
      <c r="M152" s="26">
        <v>2</v>
      </c>
      <c r="N152" s="26">
        <v>1</v>
      </c>
      <c r="O152" s="26">
        <v>2</v>
      </c>
      <c r="P152" s="26">
        <v>1</v>
      </c>
      <c r="Q152" s="26">
        <v>1</v>
      </c>
      <c r="R152" s="26">
        <v>1</v>
      </c>
      <c r="S152" s="26">
        <v>1</v>
      </c>
      <c r="T152" s="26">
        <v>1</v>
      </c>
      <c r="U152" s="26">
        <v>2</v>
      </c>
      <c r="V152" s="26">
        <v>1</v>
      </c>
      <c r="W152" s="26">
        <v>1</v>
      </c>
      <c r="X152" s="26">
        <v>2</v>
      </c>
      <c r="Y152" s="26">
        <v>1</v>
      </c>
      <c r="Z152" s="26">
        <v>1</v>
      </c>
      <c r="AA152" s="24">
        <v>0</v>
      </c>
      <c r="AB152" s="24">
        <v>1</v>
      </c>
      <c r="AE152" s="46"/>
      <c r="AF152" s="46"/>
      <c r="AG152" s="46"/>
      <c r="AH152" s="27" t="str">
        <f t="shared" si="2"/>
        <v xml:space="preserve">2001, 2002, 2004, 2006, 2008, 2009, 2010, 2011, 2012, 2014, 2015, 2017, 2018, 2020, </v>
      </c>
      <c r="AI152" s="35" t="s">
        <v>375</v>
      </c>
    </row>
    <row r="153" spans="1:37" x14ac:dyDescent="0.2">
      <c r="A153" s="5">
        <v>150</v>
      </c>
      <c r="B153" s="24" t="s">
        <v>179</v>
      </c>
      <c r="C153" s="24" t="s">
        <v>376</v>
      </c>
      <c r="D153" s="24">
        <v>0</v>
      </c>
      <c r="E153" s="24">
        <v>0</v>
      </c>
      <c r="F153" s="24">
        <v>0</v>
      </c>
      <c r="G153" s="24">
        <v>0</v>
      </c>
      <c r="H153" s="24">
        <v>0</v>
      </c>
      <c r="I153" s="24">
        <v>0</v>
      </c>
      <c r="J153" s="24">
        <v>0</v>
      </c>
      <c r="K153" s="26">
        <v>1</v>
      </c>
      <c r="L153" s="24">
        <v>0</v>
      </c>
      <c r="M153" s="26">
        <v>1</v>
      </c>
      <c r="N153" s="24">
        <v>0</v>
      </c>
      <c r="O153" s="26">
        <v>1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6">
        <v>1</v>
      </c>
      <c r="V153" s="24">
        <v>0</v>
      </c>
      <c r="W153" s="24">
        <v>0</v>
      </c>
      <c r="X153" s="26">
        <v>1</v>
      </c>
      <c r="Y153" s="24">
        <v>0</v>
      </c>
      <c r="Z153" s="24">
        <v>0</v>
      </c>
      <c r="AA153" s="24">
        <v>0</v>
      </c>
      <c r="AB153" s="24">
        <v>1</v>
      </c>
      <c r="AE153" s="46"/>
      <c r="AF153" s="46"/>
      <c r="AG153" s="46"/>
      <c r="AH153" s="27" t="str">
        <f t="shared" si="2"/>
        <v xml:space="preserve">2003, 2005, 2007, 2013, 2016, 2020, </v>
      </c>
      <c r="AI153" s="35" t="s">
        <v>377</v>
      </c>
    </row>
    <row r="154" spans="1:37" x14ac:dyDescent="0.2">
      <c r="A154" s="5">
        <v>151</v>
      </c>
      <c r="B154" s="24" t="s">
        <v>180</v>
      </c>
      <c r="C154" s="24" t="s">
        <v>378</v>
      </c>
      <c r="D154" s="24">
        <v>0</v>
      </c>
      <c r="E154" s="24">
        <v>0</v>
      </c>
      <c r="F154" s="24">
        <v>0</v>
      </c>
      <c r="G154" s="24">
        <v>0</v>
      </c>
      <c r="H154" s="24">
        <v>0</v>
      </c>
      <c r="I154" s="24">
        <v>0</v>
      </c>
      <c r="J154" s="24">
        <v>0</v>
      </c>
      <c r="K154" s="26">
        <v>1</v>
      </c>
      <c r="L154" s="24">
        <v>0</v>
      </c>
      <c r="M154" s="26">
        <v>1</v>
      </c>
      <c r="N154" s="24">
        <v>0</v>
      </c>
      <c r="O154" s="26">
        <v>1</v>
      </c>
      <c r="P154" s="24">
        <v>0</v>
      </c>
      <c r="Q154" s="24">
        <v>0</v>
      </c>
      <c r="R154" s="24">
        <v>0</v>
      </c>
      <c r="S154" s="24">
        <v>0</v>
      </c>
      <c r="T154" s="24">
        <v>0</v>
      </c>
      <c r="U154" s="26">
        <v>1</v>
      </c>
      <c r="V154" s="24">
        <v>0</v>
      </c>
      <c r="W154" s="24">
        <v>0</v>
      </c>
      <c r="X154" s="26">
        <v>1</v>
      </c>
      <c r="Y154" s="24">
        <v>0</v>
      </c>
      <c r="Z154" s="24">
        <v>0</v>
      </c>
      <c r="AA154" s="24">
        <v>0</v>
      </c>
      <c r="AB154" s="24">
        <v>1</v>
      </c>
      <c r="AE154" s="46"/>
      <c r="AF154" s="46"/>
      <c r="AG154" s="46"/>
      <c r="AH154" s="27" t="str">
        <f t="shared" si="2"/>
        <v xml:space="preserve">2003, 2005, 2007, 2013, 2016, 2020, </v>
      </c>
      <c r="AI154" s="36" t="s">
        <v>379</v>
      </c>
    </row>
    <row r="155" spans="1:37" x14ac:dyDescent="0.2">
      <c r="A155" s="5">
        <v>152</v>
      </c>
      <c r="B155" s="24" t="s">
        <v>181</v>
      </c>
      <c r="C155" s="24" t="s">
        <v>380</v>
      </c>
      <c r="D155" s="24">
        <v>0</v>
      </c>
      <c r="E155" s="24">
        <v>0</v>
      </c>
      <c r="F155" s="24">
        <v>0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6">
        <v>1</v>
      </c>
      <c r="N155" s="24">
        <v>0</v>
      </c>
      <c r="O155" s="26">
        <v>1</v>
      </c>
      <c r="P155" s="24">
        <v>0</v>
      </c>
      <c r="Q155" s="24">
        <v>0</v>
      </c>
      <c r="R155" s="24">
        <v>0</v>
      </c>
      <c r="S155" s="24">
        <v>0</v>
      </c>
      <c r="T155" s="24">
        <v>0</v>
      </c>
      <c r="U155" s="26">
        <v>1</v>
      </c>
      <c r="V155" s="24">
        <v>0</v>
      </c>
      <c r="W155" s="24">
        <v>0</v>
      </c>
      <c r="X155" s="26">
        <v>1</v>
      </c>
      <c r="Y155" s="24">
        <v>0</v>
      </c>
      <c r="Z155" s="24">
        <v>0</v>
      </c>
      <c r="AA155" s="24">
        <v>0</v>
      </c>
      <c r="AB155" s="24">
        <v>1</v>
      </c>
      <c r="AE155" s="46"/>
      <c r="AF155" s="46"/>
      <c r="AG155" s="46"/>
      <c r="AH155" s="27" t="str">
        <f t="shared" si="2"/>
        <v xml:space="preserve">2005, 2007, 2013, 2016, 2020, </v>
      </c>
      <c r="AI155" s="35" t="s">
        <v>381</v>
      </c>
    </row>
    <row r="156" spans="1:37" x14ac:dyDescent="0.2">
      <c r="A156" s="5">
        <v>153</v>
      </c>
      <c r="B156" s="24" t="s">
        <v>182</v>
      </c>
      <c r="C156" s="24" t="s">
        <v>382</v>
      </c>
      <c r="D156" s="24">
        <v>0</v>
      </c>
      <c r="E156" s="24">
        <v>0</v>
      </c>
      <c r="F156" s="24">
        <v>0</v>
      </c>
      <c r="G156" s="24">
        <v>0</v>
      </c>
      <c r="H156" s="24">
        <v>0</v>
      </c>
      <c r="I156" s="24">
        <v>0</v>
      </c>
      <c r="J156" s="24">
        <v>0</v>
      </c>
      <c r="K156" s="24">
        <v>0</v>
      </c>
      <c r="L156" s="24">
        <v>0</v>
      </c>
      <c r="M156" s="24">
        <v>0</v>
      </c>
      <c r="N156" s="24">
        <v>0</v>
      </c>
      <c r="O156" s="24">
        <v>0</v>
      </c>
      <c r="P156" s="24">
        <v>0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0</v>
      </c>
      <c r="W156" s="24">
        <v>0</v>
      </c>
      <c r="X156" s="24">
        <v>0</v>
      </c>
      <c r="Y156" s="24">
        <v>0</v>
      </c>
      <c r="Z156" s="24">
        <v>0</v>
      </c>
      <c r="AA156" s="24">
        <v>0</v>
      </c>
      <c r="AB156" s="24">
        <v>0</v>
      </c>
      <c r="AE156" s="46"/>
      <c r="AF156" s="46"/>
      <c r="AG156" s="46"/>
      <c r="AH156" s="27" t="str">
        <f t="shared" si="2"/>
        <v/>
      </c>
      <c r="AI156" s="24"/>
    </row>
    <row r="157" spans="1:37" x14ac:dyDescent="0.2">
      <c r="A157" s="5">
        <v>154</v>
      </c>
      <c r="B157" s="24" t="s">
        <v>183</v>
      </c>
      <c r="C157" s="24" t="s">
        <v>383</v>
      </c>
      <c r="D157" s="24">
        <v>0</v>
      </c>
      <c r="E157" s="24">
        <v>0</v>
      </c>
      <c r="F157" s="24">
        <v>0</v>
      </c>
      <c r="G157" s="24">
        <v>0</v>
      </c>
      <c r="H157" s="24">
        <v>0</v>
      </c>
      <c r="I157" s="24">
        <v>0</v>
      </c>
      <c r="J157" s="24">
        <v>0</v>
      </c>
      <c r="K157" s="24">
        <v>0</v>
      </c>
      <c r="L157" s="24">
        <v>0</v>
      </c>
      <c r="M157" s="24">
        <v>0</v>
      </c>
      <c r="N157" s="24">
        <v>0</v>
      </c>
      <c r="O157" s="24">
        <v>0</v>
      </c>
      <c r="P157" s="24">
        <v>0</v>
      </c>
      <c r="Q157" s="24">
        <v>0</v>
      </c>
      <c r="R157" s="24">
        <v>0</v>
      </c>
      <c r="S157" s="24">
        <v>0</v>
      </c>
      <c r="T157" s="24">
        <v>0</v>
      </c>
      <c r="U157" s="24">
        <v>0</v>
      </c>
      <c r="V157" s="24">
        <v>0</v>
      </c>
      <c r="W157" s="24">
        <v>0</v>
      </c>
      <c r="X157" s="24">
        <v>0</v>
      </c>
      <c r="Y157" s="26">
        <v>1</v>
      </c>
      <c r="Z157" s="26">
        <v>1</v>
      </c>
      <c r="AA157" s="26">
        <v>1</v>
      </c>
      <c r="AB157" s="24">
        <v>1</v>
      </c>
      <c r="AC157" s="49">
        <v>1</v>
      </c>
      <c r="AE157" s="46"/>
      <c r="AF157" s="46"/>
      <c r="AG157" s="46"/>
      <c r="AH157" s="27" t="str">
        <f t="shared" si="2"/>
        <v xml:space="preserve">2017, 2018, 2019, 2020, 2021, </v>
      </c>
      <c r="AI157" s="35" t="s">
        <v>384</v>
      </c>
    </row>
    <row r="158" spans="1:37" x14ac:dyDescent="0.2">
      <c r="A158" s="5">
        <v>155</v>
      </c>
      <c r="B158" s="25" t="s">
        <v>184</v>
      </c>
      <c r="C158" s="25" t="s">
        <v>385</v>
      </c>
      <c r="D158" s="24">
        <v>0</v>
      </c>
      <c r="E158" s="24">
        <v>0</v>
      </c>
      <c r="F158" s="24">
        <v>0</v>
      </c>
      <c r="G158" s="24">
        <v>0</v>
      </c>
      <c r="H158" s="24">
        <v>0</v>
      </c>
      <c r="I158" s="24">
        <v>0</v>
      </c>
      <c r="J158" s="24">
        <v>0</v>
      </c>
      <c r="K158" s="25">
        <v>1</v>
      </c>
      <c r="L158" s="24">
        <v>0</v>
      </c>
      <c r="M158" s="25">
        <v>1</v>
      </c>
      <c r="N158" s="24">
        <v>0</v>
      </c>
      <c r="O158" s="25">
        <v>1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6">
        <v>1</v>
      </c>
      <c r="V158" s="24">
        <v>0</v>
      </c>
      <c r="W158" s="24">
        <v>0</v>
      </c>
      <c r="X158" s="26">
        <v>1</v>
      </c>
      <c r="Y158" s="24">
        <v>0</v>
      </c>
      <c r="Z158" s="24">
        <v>0</v>
      </c>
      <c r="AA158" s="24">
        <v>0</v>
      </c>
      <c r="AB158" s="24">
        <v>1</v>
      </c>
      <c r="AE158" s="46"/>
      <c r="AF158" s="46"/>
      <c r="AG158" s="46"/>
      <c r="AH158" s="27" t="str">
        <f t="shared" si="2"/>
        <v xml:space="preserve">2003, 2005, 2007, 2013, 2016, 2020, </v>
      </c>
      <c r="AI158" s="24" t="s">
        <v>386</v>
      </c>
      <c r="AJ158" t="s">
        <v>387</v>
      </c>
    </row>
    <row r="159" spans="1:37" x14ac:dyDescent="0.2">
      <c r="A159" s="5">
        <v>156</v>
      </c>
      <c r="B159" s="37" t="s">
        <v>185</v>
      </c>
      <c r="C159" s="37" t="s">
        <v>388</v>
      </c>
      <c r="D159" s="37">
        <v>0</v>
      </c>
      <c r="E159" s="37">
        <v>0</v>
      </c>
      <c r="F159" s="37">
        <v>0</v>
      </c>
      <c r="G159" s="37">
        <v>0</v>
      </c>
      <c r="H159" s="37">
        <v>0</v>
      </c>
      <c r="I159" s="37">
        <v>0</v>
      </c>
      <c r="J159" s="37">
        <v>0</v>
      </c>
      <c r="K159" s="37">
        <v>0</v>
      </c>
      <c r="L159" s="37">
        <v>0</v>
      </c>
      <c r="M159" s="37">
        <v>0</v>
      </c>
      <c r="N159" s="37">
        <v>0</v>
      </c>
      <c r="O159" s="37">
        <v>0</v>
      </c>
      <c r="P159" s="37">
        <v>0</v>
      </c>
      <c r="Q159" s="37">
        <v>0</v>
      </c>
      <c r="R159" s="37">
        <v>0</v>
      </c>
      <c r="S159" s="37">
        <v>0</v>
      </c>
      <c r="T159" s="37">
        <v>0</v>
      </c>
      <c r="U159" s="37">
        <v>0</v>
      </c>
      <c r="V159" s="37">
        <v>0</v>
      </c>
      <c r="W159" s="37">
        <v>0</v>
      </c>
      <c r="X159" s="37">
        <v>0</v>
      </c>
      <c r="Y159" s="37">
        <v>0</v>
      </c>
      <c r="Z159" s="37">
        <v>0</v>
      </c>
      <c r="AA159" s="37">
        <v>0</v>
      </c>
      <c r="AB159" s="38">
        <v>0</v>
      </c>
      <c r="AC159" s="45"/>
      <c r="AD159" s="45"/>
      <c r="AE159" s="46"/>
      <c r="AF159" s="46"/>
      <c r="AG159" s="46"/>
      <c r="AH159" s="27" t="str">
        <f t="shared" si="2"/>
        <v/>
      </c>
      <c r="AI159" s="28"/>
      <c r="AJ159" s="28"/>
      <c r="AK159" s="28"/>
    </row>
    <row r="160" spans="1:37" x14ac:dyDescent="0.2">
      <c r="A160" s="5">
        <v>157</v>
      </c>
      <c r="B160" s="37" t="s">
        <v>186</v>
      </c>
      <c r="C160" s="37" t="s">
        <v>389</v>
      </c>
      <c r="D160" s="37">
        <v>0</v>
      </c>
      <c r="E160" s="37">
        <v>0</v>
      </c>
      <c r="F160" s="37">
        <v>0</v>
      </c>
      <c r="G160" s="37">
        <v>0</v>
      </c>
      <c r="H160" s="37">
        <v>0</v>
      </c>
      <c r="I160" s="37">
        <v>0</v>
      </c>
      <c r="J160" s="37">
        <v>0</v>
      </c>
      <c r="K160" s="37">
        <v>0</v>
      </c>
      <c r="L160" s="37">
        <v>0</v>
      </c>
      <c r="M160" s="37">
        <v>0</v>
      </c>
      <c r="N160" s="37">
        <v>0</v>
      </c>
      <c r="O160" s="37">
        <v>0</v>
      </c>
      <c r="P160" s="37">
        <v>0</v>
      </c>
      <c r="Q160" s="37">
        <v>1</v>
      </c>
      <c r="R160" s="37">
        <v>1</v>
      </c>
      <c r="S160" s="37">
        <v>1</v>
      </c>
      <c r="T160" s="37">
        <v>1</v>
      </c>
      <c r="U160" s="37">
        <v>1</v>
      </c>
      <c r="V160" s="37">
        <v>1</v>
      </c>
      <c r="W160" s="37">
        <v>1</v>
      </c>
      <c r="X160" s="37">
        <v>1</v>
      </c>
      <c r="Y160" s="37">
        <v>1</v>
      </c>
      <c r="Z160" s="37">
        <v>1</v>
      </c>
      <c r="AA160" s="37">
        <v>1</v>
      </c>
      <c r="AB160" s="38">
        <v>1</v>
      </c>
      <c r="AC160" s="45"/>
      <c r="AD160" s="45">
        <v>1</v>
      </c>
      <c r="AE160" s="46"/>
      <c r="AF160" s="46"/>
      <c r="AG160" s="46"/>
      <c r="AH160" s="27" t="str">
        <f t="shared" si="2"/>
        <v xml:space="preserve">2009, 2010, 2011, 2012, 2013, 2014, 2015, 2016, 2017, 2018, 2019, 2020, 2022, </v>
      </c>
      <c r="AI160" s="28"/>
      <c r="AJ160" s="28"/>
      <c r="AK160" s="28"/>
    </row>
    <row r="161" spans="1:39" x14ac:dyDescent="0.2">
      <c r="A161" s="5">
        <v>158</v>
      </c>
      <c r="B161" s="37" t="s">
        <v>187</v>
      </c>
      <c r="C161" s="37" t="s">
        <v>390</v>
      </c>
      <c r="D161" s="37">
        <v>0</v>
      </c>
      <c r="E161" s="39">
        <v>1</v>
      </c>
      <c r="F161" s="39">
        <v>1</v>
      </c>
      <c r="G161" s="39">
        <v>1</v>
      </c>
      <c r="H161" s="39">
        <v>1</v>
      </c>
      <c r="I161" s="39">
        <v>1</v>
      </c>
      <c r="J161" s="39">
        <v>1</v>
      </c>
      <c r="K161" s="39">
        <v>1</v>
      </c>
      <c r="L161" s="39">
        <v>1</v>
      </c>
      <c r="M161" s="39">
        <v>1</v>
      </c>
      <c r="N161" s="39">
        <v>1</v>
      </c>
      <c r="O161" s="39">
        <v>1</v>
      </c>
      <c r="P161" s="39">
        <v>1</v>
      </c>
      <c r="Q161" s="39">
        <v>1</v>
      </c>
      <c r="R161" s="39">
        <v>1</v>
      </c>
      <c r="S161" s="39">
        <v>1</v>
      </c>
      <c r="T161" s="39">
        <v>1</v>
      </c>
      <c r="U161" s="39">
        <v>1</v>
      </c>
      <c r="V161" s="39">
        <v>1</v>
      </c>
      <c r="W161" s="39">
        <v>1</v>
      </c>
      <c r="X161" s="39">
        <v>1</v>
      </c>
      <c r="Y161" s="39">
        <v>1</v>
      </c>
      <c r="Z161" s="39">
        <v>1</v>
      </c>
      <c r="AA161" s="37">
        <v>1</v>
      </c>
      <c r="AB161" s="38">
        <v>1</v>
      </c>
      <c r="AC161" s="45">
        <v>1</v>
      </c>
      <c r="AD161" s="45">
        <v>1</v>
      </c>
      <c r="AE161" s="46"/>
      <c r="AF161" s="46"/>
      <c r="AG161" s="46"/>
      <c r="AH161" s="27" t="str">
        <f t="shared" si="2"/>
        <v xml:space="preserve">1997, 1998, 1999, 2000, 2001, 2002, 2003, 2004, 2005, 2006, 2007, 2008, 2009, 2010, 2011, 2012, 2013, 2014, 2015, 2016, 2017, 2018, 2019, 2020, 2021, 2022, </v>
      </c>
      <c r="AI161" s="29" t="s">
        <v>391</v>
      </c>
      <c r="AJ161" s="29" t="s">
        <v>392</v>
      </c>
      <c r="AK161" s="29" t="s">
        <v>393</v>
      </c>
      <c r="AM161" s="36" t="s">
        <v>393</v>
      </c>
    </row>
    <row r="162" spans="1:39" x14ac:dyDescent="0.2">
      <c r="A162" s="5">
        <v>159</v>
      </c>
      <c r="B162" s="37" t="s">
        <v>188</v>
      </c>
      <c r="C162" s="37" t="s">
        <v>394</v>
      </c>
      <c r="D162" s="37">
        <v>0</v>
      </c>
      <c r="E162" s="37">
        <v>0</v>
      </c>
      <c r="F162" s="37">
        <v>0</v>
      </c>
      <c r="G162" s="39">
        <v>1</v>
      </c>
      <c r="H162" s="37">
        <v>0</v>
      </c>
      <c r="I162" s="37">
        <v>0</v>
      </c>
      <c r="J162" s="37">
        <v>0</v>
      </c>
      <c r="K162" s="39">
        <v>1</v>
      </c>
      <c r="L162" s="37">
        <v>0</v>
      </c>
      <c r="M162" s="39">
        <v>1</v>
      </c>
      <c r="N162" s="37">
        <v>0</v>
      </c>
      <c r="O162" s="39">
        <v>1</v>
      </c>
      <c r="P162" s="37">
        <v>0</v>
      </c>
      <c r="Q162" s="37">
        <v>0</v>
      </c>
      <c r="R162" s="39">
        <v>1</v>
      </c>
      <c r="S162" s="37">
        <v>0</v>
      </c>
      <c r="T162" s="37">
        <v>0</v>
      </c>
      <c r="U162" s="39">
        <v>1</v>
      </c>
      <c r="V162" s="37">
        <v>0</v>
      </c>
      <c r="W162" s="37">
        <v>0</v>
      </c>
      <c r="X162" s="39">
        <v>1</v>
      </c>
      <c r="Y162" s="37">
        <v>0</v>
      </c>
      <c r="Z162" s="37">
        <v>0</v>
      </c>
      <c r="AA162" s="37">
        <v>0</v>
      </c>
      <c r="AB162" s="38">
        <v>1</v>
      </c>
      <c r="AC162" s="45"/>
      <c r="AD162" s="45"/>
      <c r="AE162" s="46"/>
      <c r="AF162" s="46">
        <v>1</v>
      </c>
      <c r="AG162" s="46"/>
      <c r="AH162" s="27" t="str">
        <f t="shared" si="2"/>
        <v xml:space="preserve">1999, 2003, 2005, 2007, 2010, 2013, 2016, 2020, 2024, </v>
      </c>
      <c r="AI162" s="29" t="s">
        <v>395</v>
      </c>
      <c r="AJ162" s="29" t="s">
        <v>396</v>
      </c>
      <c r="AK162" s="28" t="s">
        <v>397</v>
      </c>
    </row>
    <row r="163" spans="1:39" x14ac:dyDescent="0.2">
      <c r="A163" s="5">
        <v>160</v>
      </c>
      <c r="B163" s="37" t="s">
        <v>189</v>
      </c>
      <c r="C163" s="37" t="s">
        <v>398</v>
      </c>
      <c r="D163" s="37">
        <v>0</v>
      </c>
      <c r="E163" s="37">
        <v>0</v>
      </c>
      <c r="F163" s="37">
        <v>0</v>
      </c>
      <c r="G163" s="37">
        <v>0</v>
      </c>
      <c r="H163" s="37">
        <v>0</v>
      </c>
      <c r="I163" s="37">
        <v>0</v>
      </c>
      <c r="J163" s="37">
        <v>0</v>
      </c>
      <c r="K163" s="37">
        <v>0</v>
      </c>
      <c r="L163" s="37">
        <v>0</v>
      </c>
      <c r="M163" s="37">
        <v>0</v>
      </c>
      <c r="N163" s="37">
        <v>0</v>
      </c>
      <c r="O163" s="37">
        <v>0</v>
      </c>
      <c r="P163" s="37">
        <v>0</v>
      </c>
      <c r="Q163" s="37">
        <v>0</v>
      </c>
      <c r="R163" s="37">
        <v>0</v>
      </c>
      <c r="S163" s="37">
        <v>0</v>
      </c>
      <c r="T163" s="37">
        <v>0</v>
      </c>
      <c r="U163" s="39">
        <v>1</v>
      </c>
      <c r="V163" s="37">
        <v>0</v>
      </c>
      <c r="W163" s="37">
        <v>0</v>
      </c>
      <c r="X163" s="37">
        <v>0</v>
      </c>
      <c r="Y163" s="37">
        <v>0</v>
      </c>
      <c r="Z163" s="37">
        <v>0</v>
      </c>
      <c r="AA163" s="37">
        <v>0</v>
      </c>
      <c r="AB163" s="38">
        <v>1</v>
      </c>
      <c r="AC163" s="45"/>
      <c r="AD163" s="45"/>
      <c r="AE163" s="46"/>
      <c r="AF163" s="46"/>
      <c r="AG163" s="46"/>
      <c r="AH163" s="27" t="str">
        <f t="shared" si="2"/>
        <v xml:space="preserve">2013, 2020, </v>
      </c>
      <c r="AI163" s="30" t="s">
        <v>373</v>
      </c>
      <c r="AJ163" s="29" t="s">
        <v>399</v>
      </c>
      <c r="AK163" s="29" t="s">
        <v>400</v>
      </c>
    </row>
    <row r="164" spans="1:39" x14ac:dyDescent="0.2">
      <c r="A164" s="5">
        <v>161</v>
      </c>
      <c r="B164" s="37" t="s">
        <v>190</v>
      </c>
      <c r="C164" s="37" t="s">
        <v>401</v>
      </c>
      <c r="D164" s="37">
        <v>0</v>
      </c>
      <c r="E164" s="37">
        <v>0</v>
      </c>
      <c r="F164" s="37">
        <v>0</v>
      </c>
      <c r="G164" s="37">
        <v>0</v>
      </c>
      <c r="H164" s="37">
        <v>0</v>
      </c>
      <c r="I164" s="37">
        <v>0</v>
      </c>
      <c r="J164" s="37">
        <v>0</v>
      </c>
      <c r="K164" s="37">
        <v>0</v>
      </c>
      <c r="L164" s="37">
        <v>0</v>
      </c>
      <c r="M164" s="37">
        <v>0</v>
      </c>
      <c r="N164" s="37">
        <v>0</v>
      </c>
      <c r="O164" s="37">
        <v>0</v>
      </c>
      <c r="P164" s="37">
        <v>0</v>
      </c>
      <c r="Q164" s="37">
        <v>0</v>
      </c>
      <c r="R164" s="37">
        <v>0</v>
      </c>
      <c r="S164" s="37">
        <v>0</v>
      </c>
      <c r="T164" s="37">
        <v>0</v>
      </c>
      <c r="U164" s="37">
        <v>0</v>
      </c>
      <c r="V164" s="37">
        <v>0</v>
      </c>
      <c r="W164" s="37">
        <v>0</v>
      </c>
      <c r="X164" s="37">
        <v>0</v>
      </c>
      <c r="Y164" s="37">
        <v>0</v>
      </c>
      <c r="Z164" s="37">
        <v>0</v>
      </c>
      <c r="AA164" s="37">
        <v>0</v>
      </c>
      <c r="AB164" s="38">
        <v>0</v>
      </c>
      <c r="AC164" s="45"/>
      <c r="AD164" s="45"/>
      <c r="AE164" s="46"/>
      <c r="AF164" s="46"/>
      <c r="AG164" s="46"/>
      <c r="AH164" s="27" t="str">
        <f t="shared" si="2"/>
        <v/>
      </c>
      <c r="AI164" s="28"/>
      <c r="AJ164" s="28"/>
      <c r="AK164" s="28"/>
    </row>
    <row r="165" spans="1:39" x14ac:dyDescent="0.2">
      <c r="A165" s="5">
        <v>162</v>
      </c>
      <c r="B165" s="37" t="s">
        <v>191</v>
      </c>
      <c r="C165" s="37" t="s">
        <v>402</v>
      </c>
      <c r="D165" s="37">
        <v>0</v>
      </c>
      <c r="E165" s="37">
        <v>0</v>
      </c>
      <c r="F165" s="37">
        <v>0</v>
      </c>
      <c r="G165" s="37">
        <v>0</v>
      </c>
      <c r="H165" s="37">
        <v>0</v>
      </c>
      <c r="I165" s="37">
        <v>0</v>
      </c>
      <c r="J165" s="37">
        <v>0</v>
      </c>
      <c r="K165" s="37">
        <v>0</v>
      </c>
      <c r="L165" s="37">
        <v>0</v>
      </c>
      <c r="M165" s="37">
        <v>0</v>
      </c>
      <c r="N165" s="37">
        <v>0</v>
      </c>
      <c r="O165" s="37">
        <v>0</v>
      </c>
      <c r="P165" s="37">
        <v>0</v>
      </c>
      <c r="Q165" s="37">
        <v>0</v>
      </c>
      <c r="R165" s="37">
        <v>0</v>
      </c>
      <c r="S165" s="37">
        <v>0</v>
      </c>
      <c r="T165" s="37">
        <v>0</v>
      </c>
      <c r="U165" s="37">
        <v>0</v>
      </c>
      <c r="V165" s="37">
        <v>0</v>
      </c>
      <c r="W165" s="37">
        <v>0</v>
      </c>
      <c r="X165" s="37">
        <v>0</v>
      </c>
      <c r="Y165" s="37">
        <v>0</v>
      </c>
      <c r="Z165" s="37">
        <v>0</v>
      </c>
      <c r="AA165" s="37">
        <v>0</v>
      </c>
      <c r="AB165" s="38">
        <v>0</v>
      </c>
      <c r="AC165" s="45"/>
      <c r="AD165" s="45"/>
      <c r="AE165" s="46"/>
      <c r="AF165" s="46"/>
      <c r="AG165" s="46"/>
      <c r="AH165" s="27" t="str">
        <f t="shared" si="2"/>
        <v/>
      </c>
      <c r="AI165" s="28"/>
      <c r="AJ165" s="28"/>
      <c r="AK165" s="28"/>
    </row>
    <row r="166" spans="1:39" x14ac:dyDescent="0.2">
      <c r="A166" s="5">
        <v>163</v>
      </c>
      <c r="B166" s="37" t="s">
        <v>192</v>
      </c>
      <c r="C166" s="37" t="s">
        <v>403</v>
      </c>
      <c r="D166" s="39">
        <v>1</v>
      </c>
      <c r="E166" s="39">
        <v>1</v>
      </c>
      <c r="F166" s="39">
        <v>1</v>
      </c>
      <c r="G166" s="39">
        <v>1</v>
      </c>
      <c r="H166" s="39">
        <v>1</v>
      </c>
      <c r="I166" s="39">
        <v>1</v>
      </c>
      <c r="J166" s="39">
        <v>1</v>
      </c>
      <c r="K166" s="39">
        <v>1</v>
      </c>
      <c r="L166" s="39">
        <v>1</v>
      </c>
      <c r="M166" s="39">
        <v>1</v>
      </c>
      <c r="N166" s="39">
        <v>1</v>
      </c>
      <c r="O166" s="39">
        <v>1</v>
      </c>
      <c r="P166" s="39">
        <v>1</v>
      </c>
      <c r="Q166" s="39">
        <v>1</v>
      </c>
      <c r="R166" s="39">
        <v>1</v>
      </c>
      <c r="S166" s="39">
        <v>1</v>
      </c>
      <c r="T166" s="39">
        <v>1</v>
      </c>
      <c r="U166" s="39">
        <v>1</v>
      </c>
      <c r="V166" s="39">
        <v>1</v>
      </c>
      <c r="W166" s="39">
        <v>1</v>
      </c>
      <c r="X166" s="39">
        <v>1</v>
      </c>
      <c r="Y166" s="39">
        <v>1</v>
      </c>
      <c r="Z166" s="39">
        <v>1</v>
      </c>
      <c r="AA166" s="39">
        <v>1</v>
      </c>
      <c r="AB166" s="39">
        <v>1</v>
      </c>
      <c r="AC166" s="46">
        <v>1</v>
      </c>
      <c r="AD166" s="46">
        <v>1</v>
      </c>
      <c r="AE166" s="46">
        <v>1</v>
      </c>
      <c r="AF166" s="46">
        <v>1</v>
      </c>
      <c r="AG166" s="46"/>
      <c r="AH166" s="27" t="str">
        <f t="shared" si="2"/>
        <v xml:space="preserve">1996, 1997, 1998, 1999, 2000, 2001, 2002, 2003, 2004, 2005, 2006, 2007, 2008, 2009, 2010, 2011, 2012, 2013, 2014, 2015, 2016, 2017, 2018, 2019, 2020, 2021, 2022, 2023, 2024, </v>
      </c>
      <c r="AI166" s="29" t="s">
        <v>404</v>
      </c>
      <c r="AJ166" s="29" t="s">
        <v>405</v>
      </c>
      <c r="AK166" s="28"/>
    </row>
    <row r="167" spans="1:39" x14ac:dyDescent="0.2">
      <c r="A167" s="5">
        <v>164</v>
      </c>
      <c r="B167" s="37" t="s">
        <v>193</v>
      </c>
      <c r="C167" s="37" t="s">
        <v>406</v>
      </c>
      <c r="D167" s="37">
        <v>0</v>
      </c>
      <c r="E167" s="39">
        <v>1</v>
      </c>
      <c r="F167" s="39">
        <v>1</v>
      </c>
      <c r="G167" s="39">
        <v>1</v>
      </c>
      <c r="H167" s="39">
        <v>1</v>
      </c>
      <c r="I167" s="39">
        <v>1</v>
      </c>
      <c r="J167" s="39">
        <v>1</v>
      </c>
      <c r="K167" s="39">
        <v>1</v>
      </c>
      <c r="L167" s="39">
        <v>1</v>
      </c>
      <c r="M167" s="39">
        <v>1</v>
      </c>
      <c r="N167" s="39">
        <v>1</v>
      </c>
      <c r="O167" s="39">
        <v>1</v>
      </c>
      <c r="P167" s="39">
        <v>1</v>
      </c>
      <c r="Q167" s="39">
        <v>1</v>
      </c>
      <c r="R167" s="39">
        <v>1</v>
      </c>
      <c r="S167" s="39">
        <v>1</v>
      </c>
      <c r="T167" s="39">
        <v>1</v>
      </c>
      <c r="U167" s="39">
        <v>1</v>
      </c>
      <c r="V167" s="39">
        <v>1</v>
      </c>
      <c r="W167" s="39">
        <v>1</v>
      </c>
      <c r="X167" s="39">
        <v>1</v>
      </c>
      <c r="Y167" s="39">
        <v>1</v>
      </c>
      <c r="Z167" s="39">
        <v>1</v>
      </c>
      <c r="AA167" s="39">
        <v>1</v>
      </c>
      <c r="AB167" s="38">
        <v>1</v>
      </c>
      <c r="AC167" s="45"/>
      <c r="AD167" s="45"/>
      <c r="AE167" s="46"/>
      <c r="AF167" s="46">
        <v>1</v>
      </c>
      <c r="AG167" s="46"/>
      <c r="AH167" s="27" t="str">
        <f t="shared" si="2"/>
        <v xml:space="preserve">1997, 1998, 1999, 2000, 2001, 2002, 2003, 2004, 2005, 2006, 2007, 2008, 2009, 2010, 2011, 2012, 2013, 2014, 2015, 2016, 2017, 2018, 2019, 2020, 2024, </v>
      </c>
      <c r="AI167" s="29" t="s">
        <v>407</v>
      </c>
      <c r="AJ167" s="29" t="s">
        <v>408</v>
      </c>
      <c r="AK167" s="28" t="s">
        <v>409</v>
      </c>
      <c r="AL167" t="s">
        <v>410</v>
      </c>
    </row>
    <row r="168" spans="1:39" x14ac:dyDescent="0.2">
      <c r="A168" s="5">
        <v>165</v>
      </c>
      <c r="B168" s="37" t="s">
        <v>194</v>
      </c>
      <c r="C168" s="37" t="s">
        <v>411</v>
      </c>
      <c r="D168" s="37">
        <v>1</v>
      </c>
      <c r="E168" s="39">
        <v>1</v>
      </c>
      <c r="F168" s="39">
        <v>1</v>
      </c>
      <c r="G168" s="39">
        <v>1</v>
      </c>
      <c r="H168" s="39">
        <v>1</v>
      </c>
      <c r="I168" s="39">
        <v>1</v>
      </c>
      <c r="J168" s="39">
        <v>1</v>
      </c>
      <c r="K168" s="39">
        <v>1</v>
      </c>
      <c r="L168" s="39">
        <v>1</v>
      </c>
      <c r="M168" s="39">
        <v>1</v>
      </c>
      <c r="N168" s="39">
        <v>1</v>
      </c>
      <c r="O168" s="39">
        <v>1</v>
      </c>
      <c r="P168" s="39">
        <v>1</v>
      </c>
      <c r="Q168" s="39">
        <v>1</v>
      </c>
      <c r="R168" s="39">
        <v>1</v>
      </c>
      <c r="S168" s="39">
        <v>1</v>
      </c>
      <c r="T168" s="39">
        <v>1</v>
      </c>
      <c r="U168" s="39">
        <v>1</v>
      </c>
      <c r="V168" s="39">
        <v>1</v>
      </c>
      <c r="W168" s="39">
        <v>1</v>
      </c>
      <c r="X168" s="39">
        <v>1</v>
      </c>
      <c r="Y168" s="39">
        <v>1</v>
      </c>
      <c r="Z168" s="39">
        <v>1</v>
      </c>
      <c r="AA168" s="37">
        <v>0</v>
      </c>
      <c r="AB168" s="38">
        <v>1</v>
      </c>
      <c r="AC168" s="45"/>
      <c r="AD168" s="45"/>
      <c r="AE168" s="46"/>
      <c r="AF168" s="46">
        <v>1</v>
      </c>
      <c r="AG168" s="46"/>
      <c r="AH168" s="27" t="str">
        <f t="shared" si="2"/>
        <v xml:space="preserve">1996, 1997, 1998, 1999, 2000, 2001, 2002, 2003, 2004, 2005, 2006, 2007, 2008, 2009, 2010, 2011, 2012, 2013, 2014, 2015, 2016, 2017, 2018, 2020, 2024, </v>
      </c>
      <c r="AI168" s="29" t="s">
        <v>412</v>
      </c>
      <c r="AJ168" s="29" t="s">
        <v>413</v>
      </c>
      <c r="AK168" s="28"/>
    </row>
    <row r="169" spans="1:39" x14ac:dyDescent="0.2">
      <c r="A169" s="5">
        <v>166</v>
      </c>
      <c r="B169" s="37" t="s">
        <v>195</v>
      </c>
      <c r="C169" s="37" t="s">
        <v>414</v>
      </c>
      <c r="D169" s="37">
        <v>0</v>
      </c>
      <c r="E169" s="37">
        <v>0</v>
      </c>
      <c r="F169" s="37">
        <v>0</v>
      </c>
      <c r="G169" s="37">
        <v>0</v>
      </c>
      <c r="H169" s="37">
        <v>0</v>
      </c>
      <c r="I169" s="37">
        <v>0</v>
      </c>
      <c r="J169" s="39">
        <v>1</v>
      </c>
      <c r="K169" s="39">
        <v>1</v>
      </c>
      <c r="L169" s="39">
        <v>1</v>
      </c>
      <c r="M169" s="39">
        <v>1</v>
      </c>
      <c r="N169" s="39">
        <v>1</v>
      </c>
      <c r="O169" s="39">
        <v>1</v>
      </c>
      <c r="P169" s="39">
        <v>1</v>
      </c>
      <c r="Q169" s="39">
        <v>1</v>
      </c>
      <c r="R169" s="39">
        <v>1</v>
      </c>
      <c r="S169" s="39">
        <v>1</v>
      </c>
      <c r="T169" s="39">
        <v>1</v>
      </c>
      <c r="U169" s="39">
        <v>1</v>
      </c>
      <c r="V169" s="39">
        <v>1</v>
      </c>
      <c r="W169" s="39">
        <v>1</v>
      </c>
      <c r="X169" s="39">
        <v>1</v>
      </c>
      <c r="Y169" s="39">
        <v>1</v>
      </c>
      <c r="Z169" s="39">
        <v>1</v>
      </c>
      <c r="AA169" s="37">
        <v>0</v>
      </c>
      <c r="AB169" s="38">
        <v>1</v>
      </c>
      <c r="AC169" s="45"/>
      <c r="AD169" s="45"/>
      <c r="AE169" s="46"/>
      <c r="AF169" s="46"/>
      <c r="AG169" s="46"/>
      <c r="AH169" s="27" t="str">
        <f t="shared" si="2"/>
        <v xml:space="preserve">2002, 2003, 2004, 2005, 2006, 2007, 2008, 2009, 2010, 2011, 2012, 2013, 2014, 2015, 2016, 2017, 2018, 2020, </v>
      </c>
      <c r="AI169" s="29" t="s">
        <v>415</v>
      </c>
      <c r="AJ169" s="29" t="s">
        <v>416</v>
      </c>
      <c r="AK169" s="29" t="s">
        <v>417</v>
      </c>
      <c r="AL169" s="36" t="s">
        <v>418</v>
      </c>
    </row>
    <row r="170" spans="1:39" x14ac:dyDescent="0.2">
      <c r="A170" s="5">
        <v>167</v>
      </c>
      <c r="B170" s="37" t="s">
        <v>196</v>
      </c>
      <c r="C170" s="37" t="s">
        <v>419</v>
      </c>
      <c r="D170" s="39">
        <v>1</v>
      </c>
      <c r="E170" s="39">
        <v>1</v>
      </c>
      <c r="F170" s="39">
        <v>1</v>
      </c>
      <c r="G170" s="39">
        <v>1</v>
      </c>
      <c r="H170" s="39">
        <v>1</v>
      </c>
      <c r="I170" s="39">
        <v>1</v>
      </c>
      <c r="J170" s="39">
        <v>1</v>
      </c>
      <c r="K170" s="39">
        <v>1</v>
      </c>
      <c r="L170" s="39">
        <v>1</v>
      </c>
      <c r="M170" s="39">
        <v>1</v>
      </c>
      <c r="N170" s="39">
        <v>1</v>
      </c>
      <c r="O170" s="39">
        <v>1</v>
      </c>
      <c r="P170" s="39">
        <v>1</v>
      </c>
      <c r="Q170" s="39">
        <v>1</v>
      </c>
      <c r="R170" s="39">
        <v>1</v>
      </c>
      <c r="S170" s="39">
        <v>1</v>
      </c>
      <c r="T170" s="39">
        <v>1</v>
      </c>
      <c r="U170" s="39">
        <v>1</v>
      </c>
      <c r="V170" s="39">
        <v>1</v>
      </c>
      <c r="W170" s="39">
        <v>1</v>
      </c>
      <c r="X170" s="39">
        <v>1</v>
      </c>
      <c r="Y170" s="39">
        <v>1</v>
      </c>
      <c r="Z170" s="39">
        <v>1</v>
      </c>
      <c r="AA170" s="39">
        <v>1</v>
      </c>
      <c r="AB170" s="38">
        <v>1</v>
      </c>
      <c r="AC170" s="45"/>
      <c r="AD170" s="45"/>
      <c r="AE170" s="46"/>
      <c r="AF170" s="46">
        <v>1</v>
      </c>
      <c r="AG170" s="46"/>
      <c r="AH170" s="27" t="str">
        <f t="shared" si="2"/>
        <v xml:space="preserve">1996, 1997, 1998, 1999, 2000, 2001, 2002, 2003, 2004, 2005, 2006, 2007, 2008, 2009, 2010, 2011, 2012, 2013, 2014, 2015, 2016, 2017, 2018, 2019, 2020, 2024, </v>
      </c>
      <c r="AI170" s="29" t="s">
        <v>420</v>
      </c>
      <c r="AJ170" s="29" t="s">
        <v>421</v>
      </c>
      <c r="AK170" s="28"/>
    </row>
    <row r="171" spans="1:39" x14ac:dyDescent="0.2">
      <c r="A171" s="5">
        <v>168</v>
      </c>
      <c r="B171" s="37" t="s">
        <v>197</v>
      </c>
      <c r="C171" s="37" t="s">
        <v>422</v>
      </c>
      <c r="D171" s="37">
        <v>0</v>
      </c>
      <c r="E171" s="39">
        <v>1</v>
      </c>
      <c r="F171" s="37">
        <v>0</v>
      </c>
      <c r="G171" s="37">
        <v>0</v>
      </c>
      <c r="H171" s="37">
        <v>0</v>
      </c>
      <c r="I171" s="37">
        <v>0</v>
      </c>
      <c r="J171" s="37">
        <v>0</v>
      </c>
      <c r="K171" s="39">
        <v>1</v>
      </c>
      <c r="L171" s="37">
        <v>0</v>
      </c>
      <c r="M171" s="39">
        <v>1</v>
      </c>
      <c r="N171" s="37">
        <v>0</v>
      </c>
      <c r="O171" s="39">
        <v>1</v>
      </c>
      <c r="P171" s="37">
        <v>0</v>
      </c>
      <c r="Q171" s="37">
        <v>0</v>
      </c>
      <c r="R171" s="37">
        <v>0</v>
      </c>
      <c r="S171" s="37">
        <v>0</v>
      </c>
      <c r="T171" s="37">
        <v>0</v>
      </c>
      <c r="U171" s="39">
        <v>1</v>
      </c>
      <c r="V171" s="37">
        <v>0</v>
      </c>
      <c r="W171" s="37">
        <v>0</v>
      </c>
      <c r="X171" s="39">
        <v>1</v>
      </c>
      <c r="Y171" s="37">
        <v>0</v>
      </c>
      <c r="Z171" s="37">
        <v>0</v>
      </c>
      <c r="AA171" s="37">
        <v>0</v>
      </c>
      <c r="AB171" s="38">
        <v>1</v>
      </c>
      <c r="AC171" s="45"/>
      <c r="AD171" s="45"/>
      <c r="AE171" s="46"/>
      <c r="AF171" s="46"/>
      <c r="AG171" s="46"/>
      <c r="AH171" s="27" t="str">
        <f t="shared" si="2"/>
        <v xml:space="preserve">1997, 2003, 2005, 2007, 2013, 2016, 2020, </v>
      </c>
      <c r="AI171" s="29" t="s">
        <v>423</v>
      </c>
      <c r="AJ171" s="29" t="s">
        <v>424</v>
      </c>
      <c r="AK171" s="29" t="s">
        <v>425</v>
      </c>
    </row>
    <row r="172" spans="1:39" x14ac:dyDescent="0.2">
      <c r="A172" s="5">
        <v>169</v>
      </c>
      <c r="B172" s="37" t="s">
        <v>198</v>
      </c>
      <c r="C172" s="37" t="s">
        <v>426</v>
      </c>
      <c r="D172" s="39">
        <v>1</v>
      </c>
      <c r="E172" s="39">
        <v>1</v>
      </c>
      <c r="F172" s="39">
        <v>1</v>
      </c>
      <c r="G172" s="39">
        <v>1</v>
      </c>
      <c r="H172" s="39">
        <v>1</v>
      </c>
      <c r="I172" s="39">
        <v>1</v>
      </c>
      <c r="J172" s="39">
        <v>1</v>
      </c>
      <c r="K172" s="39">
        <v>1</v>
      </c>
      <c r="L172" s="39">
        <v>1</v>
      </c>
      <c r="M172" s="39">
        <v>1</v>
      </c>
      <c r="N172" s="39">
        <v>1</v>
      </c>
      <c r="O172" s="39">
        <v>1</v>
      </c>
      <c r="P172" s="39">
        <v>1</v>
      </c>
      <c r="Q172" s="39">
        <v>1</v>
      </c>
      <c r="R172" s="39">
        <v>1</v>
      </c>
      <c r="S172" s="39">
        <v>1</v>
      </c>
      <c r="T172" s="39">
        <v>1</v>
      </c>
      <c r="U172" s="39">
        <v>1</v>
      </c>
      <c r="V172" s="39">
        <v>1</v>
      </c>
      <c r="W172" s="39">
        <v>1</v>
      </c>
      <c r="X172" s="39">
        <v>1</v>
      </c>
      <c r="Y172" s="39">
        <v>1</v>
      </c>
      <c r="Z172" s="39">
        <v>1</v>
      </c>
      <c r="AA172" s="39">
        <v>1</v>
      </c>
      <c r="AB172" s="38">
        <v>1</v>
      </c>
      <c r="AC172" s="45"/>
      <c r="AD172" s="45"/>
      <c r="AE172" s="46"/>
      <c r="AF172" s="46">
        <v>1</v>
      </c>
      <c r="AG172" s="46"/>
      <c r="AH172" s="27" t="str">
        <f t="shared" si="2"/>
        <v xml:space="preserve">1996, 1997, 1998, 1999, 2000, 2001, 2002, 2003, 2004, 2005, 2006, 2007, 2008, 2009, 2010, 2011, 2012, 2013, 2014, 2015, 2016, 2017, 2018, 2019, 2020, 2024, </v>
      </c>
      <c r="AI172" s="29" t="s">
        <v>427</v>
      </c>
      <c r="AJ172" s="29" t="s">
        <v>428</v>
      </c>
      <c r="AK172" s="29" t="s">
        <v>429</v>
      </c>
    </row>
    <row r="173" spans="1:39" x14ac:dyDescent="0.2">
      <c r="A173" s="5">
        <v>170</v>
      </c>
      <c r="B173" s="37" t="s">
        <v>199</v>
      </c>
      <c r="C173" s="37" t="s">
        <v>430</v>
      </c>
      <c r="D173" s="37">
        <v>0</v>
      </c>
      <c r="E173" s="37">
        <v>0</v>
      </c>
      <c r="F173" s="37">
        <v>0</v>
      </c>
      <c r="G173" s="37">
        <v>0</v>
      </c>
      <c r="H173" s="37">
        <v>0</v>
      </c>
      <c r="I173" s="37">
        <v>0</v>
      </c>
      <c r="J173" s="37">
        <v>0</v>
      </c>
      <c r="K173" s="37">
        <v>0</v>
      </c>
      <c r="L173" s="37">
        <v>0</v>
      </c>
      <c r="M173" s="37">
        <v>0</v>
      </c>
      <c r="N173" s="37">
        <v>0</v>
      </c>
      <c r="O173" s="37">
        <v>0</v>
      </c>
      <c r="P173" s="37">
        <v>0</v>
      </c>
      <c r="Q173" s="37">
        <v>0</v>
      </c>
      <c r="R173" s="37">
        <v>0</v>
      </c>
      <c r="S173" s="37">
        <v>0</v>
      </c>
      <c r="T173" s="37">
        <v>0</v>
      </c>
      <c r="U173" s="39">
        <v>1</v>
      </c>
      <c r="V173" s="37">
        <v>0</v>
      </c>
      <c r="W173" s="37">
        <v>0</v>
      </c>
      <c r="X173" s="39">
        <v>1</v>
      </c>
      <c r="Y173" s="37">
        <v>0</v>
      </c>
      <c r="Z173" s="37">
        <v>0</v>
      </c>
      <c r="AA173" s="37">
        <v>0</v>
      </c>
      <c r="AB173" s="38">
        <v>1</v>
      </c>
      <c r="AC173" s="45"/>
      <c r="AD173" s="45"/>
      <c r="AE173" s="46"/>
      <c r="AF173" s="46"/>
      <c r="AG173" s="46"/>
      <c r="AH173" s="27" t="str">
        <f t="shared" si="2"/>
        <v xml:space="preserve">2013, 2016, 2020, </v>
      </c>
      <c r="AI173" s="30" t="s">
        <v>431</v>
      </c>
      <c r="AJ173" s="28" t="s">
        <v>373</v>
      </c>
      <c r="AK173" s="28"/>
    </row>
    <row r="174" spans="1:39" x14ac:dyDescent="0.2">
      <c r="A174" s="5">
        <v>171</v>
      </c>
      <c r="B174" s="37" t="s">
        <v>200</v>
      </c>
      <c r="C174" s="37" t="s">
        <v>432</v>
      </c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0</v>
      </c>
      <c r="J174" s="37">
        <v>0</v>
      </c>
      <c r="K174" s="37">
        <v>1</v>
      </c>
      <c r="L174" s="37">
        <v>0</v>
      </c>
      <c r="M174" s="39">
        <v>1</v>
      </c>
      <c r="N174" s="37">
        <v>0</v>
      </c>
      <c r="O174" s="39">
        <v>1</v>
      </c>
      <c r="P174" s="37">
        <v>0</v>
      </c>
      <c r="Q174" s="37">
        <v>0</v>
      </c>
      <c r="R174" s="37">
        <v>0</v>
      </c>
      <c r="S174" s="37">
        <v>0</v>
      </c>
      <c r="T174" s="37">
        <v>0</v>
      </c>
      <c r="U174" s="39">
        <v>1</v>
      </c>
      <c r="V174" s="37">
        <v>0</v>
      </c>
      <c r="W174" s="37">
        <v>0</v>
      </c>
      <c r="X174" s="39">
        <v>1</v>
      </c>
      <c r="Y174" s="37">
        <v>0</v>
      </c>
      <c r="Z174" s="37">
        <v>0</v>
      </c>
      <c r="AA174" s="37">
        <v>0</v>
      </c>
      <c r="AB174" s="38">
        <v>1</v>
      </c>
      <c r="AC174" s="45"/>
      <c r="AD174" s="45"/>
      <c r="AE174" s="46"/>
      <c r="AF174" s="46"/>
      <c r="AG174" s="46"/>
      <c r="AH174" s="27" t="str">
        <f t="shared" si="2"/>
        <v xml:space="preserve">2003, 2005, 2007, 2013, 2016, 2020, </v>
      </c>
      <c r="AI174" s="29" t="s">
        <v>373</v>
      </c>
      <c r="AJ174" s="28"/>
      <c r="AK174" s="28"/>
    </row>
    <row r="175" spans="1:39" x14ac:dyDescent="0.2">
      <c r="A175" s="5">
        <v>172</v>
      </c>
      <c r="B175" s="37" t="s">
        <v>201</v>
      </c>
      <c r="C175" s="37" t="s">
        <v>433</v>
      </c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0</v>
      </c>
      <c r="J175" s="37">
        <v>0</v>
      </c>
      <c r="K175" s="39">
        <v>1</v>
      </c>
      <c r="L175" s="37">
        <v>0</v>
      </c>
      <c r="M175" s="39">
        <v>1</v>
      </c>
      <c r="N175" s="37">
        <v>0</v>
      </c>
      <c r="O175" s="39">
        <v>1</v>
      </c>
      <c r="P175" s="37">
        <v>0</v>
      </c>
      <c r="Q175" s="37">
        <v>0</v>
      </c>
      <c r="R175" s="37">
        <v>0</v>
      </c>
      <c r="S175" s="37">
        <v>0</v>
      </c>
      <c r="T175" s="37">
        <v>0</v>
      </c>
      <c r="U175" s="39">
        <v>1</v>
      </c>
      <c r="V175" s="37">
        <v>0</v>
      </c>
      <c r="W175" s="37">
        <v>0</v>
      </c>
      <c r="X175" s="39">
        <v>1</v>
      </c>
      <c r="Y175" s="37">
        <v>0</v>
      </c>
      <c r="Z175" s="37">
        <v>0</v>
      </c>
      <c r="AA175" s="37">
        <v>0</v>
      </c>
      <c r="AB175" s="38">
        <v>0</v>
      </c>
      <c r="AC175" s="45">
        <v>1</v>
      </c>
      <c r="AD175" s="45">
        <v>1</v>
      </c>
      <c r="AE175" s="46"/>
      <c r="AF175" s="46">
        <v>1</v>
      </c>
      <c r="AG175" s="46"/>
      <c r="AH175" s="27" t="str">
        <f t="shared" si="2"/>
        <v xml:space="preserve">2003, 2005, 2007, 2013, 2016, 2021, 2022, 2024, </v>
      </c>
      <c r="AI175" s="29" t="s">
        <v>434</v>
      </c>
      <c r="AJ175" s="29" t="s">
        <v>435</v>
      </c>
      <c r="AK175" s="28" t="s">
        <v>436</v>
      </c>
    </row>
    <row r="176" spans="1:39" x14ac:dyDescent="0.2">
      <c r="A176" s="5">
        <v>173</v>
      </c>
      <c r="B176" s="37" t="s">
        <v>202</v>
      </c>
      <c r="C176" s="37" t="s">
        <v>437</v>
      </c>
      <c r="D176" s="39">
        <v>1</v>
      </c>
      <c r="E176" s="39">
        <v>1</v>
      </c>
      <c r="F176" s="39">
        <v>1</v>
      </c>
      <c r="G176" s="37">
        <v>0</v>
      </c>
      <c r="H176" s="39">
        <v>1</v>
      </c>
      <c r="I176" s="39">
        <v>1</v>
      </c>
      <c r="J176" s="39">
        <v>1</v>
      </c>
      <c r="K176" s="39">
        <v>1</v>
      </c>
      <c r="L176" s="39">
        <v>1</v>
      </c>
      <c r="M176" s="39">
        <v>1</v>
      </c>
      <c r="N176" s="39">
        <v>1</v>
      </c>
      <c r="O176" s="39">
        <v>1</v>
      </c>
      <c r="P176" s="39">
        <v>1</v>
      </c>
      <c r="Q176" s="39">
        <v>0</v>
      </c>
      <c r="R176" s="39">
        <v>1</v>
      </c>
      <c r="S176" s="39">
        <v>1</v>
      </c>
      <c r="T176" s="39">
        <v>1</v>
      </c>
      <c r="U176" s="39">
        <v>1</v>
      </c>
      <c r="V176" s="39">
        <v>1</v>
      </c>
      <c r="W176" s="39">
        <v>1</v>
      </c>
      <c r="X176" s="39">
        <v>1</v>
      </c>
      <c r="Y176" s="39">
        <v>1</v>
      </c>
      <c r="Z176" s="39">
        <v>1</v>
      </c>
      <c r="AA176" s="39">
        <v>1</v>
      </c>
      <c r="AB176" s="38">
        <v>1</v>
      </c>
      <c r="AC176" s="45">
        <v>1</v>
      </c>
      <c r="AD176" s="45">
        <v>1</v>
      </c>
      <c r="AE176" s="46">
        <v>1</v>
      </c>
      <c r="AF176" s="46">
        <v>1</v>
      </c>
      <c r="AG176" s="46"/>
      <c r="AH176" s="27" t="str">
        <f t="shared" si="2"/>
        <v xml:space="preserve">1996, 1997, 1998, 2000, 2001, 2002, 2003, 2004, 2005, 2006, 2007, 2008, 2010, 2011, 2012, 2013, 2014, 2015, 2016, 2017, 2018, 2019, 2020, 2021, 2022, 2023, 2024, </v>
      </c>
      <c r="AI176" s="29" t="s">
        <v>438</v>
      </c>
      <c r="AJ176" s="29" t="s">
        <v>439</v>
      </c>
      <c r="AK176" s="28" t="s">
        <v>440</v>
      </c>
      <c r="AL176" s="36" t="s">
        <v>441</v>
      </c>
    </row>
    <row r="177" spans="1:37" x14ac:dyDescent="0.2">
      <c r="A177" s="5">
        <v>174</v>
      </c>
      <c r="B177" s="37" t="s">
        <v>203</v>
      </c>
      <c r="C177" s="37" t="s">
        <v>442</v>
      </c>
      <c r="D177" s="37">
        <v>0</v>
      </c>
      <c r="E177" s="37">
        <v>0</v>
      </c>
      <c r="F177" s="37">
        <v>0</v>
      </c>
      <c r="G177" s="37">
        <v>0</v>
      </c>
      <c r="H177" s="37">
        <v>0</v>
      </c>
      <c r="I177" s="37">
        <v>0</v>
      </c>
      <c r="J177" s="37">
        <v>0</v>
      </c>
      <c r="K177" s="37">
        <v>0</v>
      </c>
      <c r="L177" s="37">
        <v>0</v>
      </c>
      <c r="M177" s="37">
        <v>0</v>
      </c>
      <c r="N177" s="37">
        <v>0</v>
      </c>
      <c r="O177" s="37">
        <v>0</v>
      </c>
      <c r="P177" s="37">
        <v>0</v>
      </c>
      <c r="Q177" s="37">
        <v>0</v>
      </c>
      <c r="R177" s="37">
        <v>0</v>
      </c>
      <c r="S177" s="37">
        <v>0</v>
      </c>
      <c r="T177" s="37">
        <v>0</v>
      </c>
      <c r="U177" s="39">
        <v>1</v>
      </c>
      <c r="V177" s="37">
        <v>0</v>
      </c>
      <c r="W177" s="37">
        <v>0</v>
      </c>
      <c r="X177" s="39">
        <v>1</v>
      </c>
      <c r="Y177" s="37">
        <v>0</v>
      </c>
      <c r="Z177" s="37">
        <v>0</v>
      </c>
      <c r="AA177" s="37">
        <v>0</v>
      </c>
      <c r="AB177" s="38">
        <v>1</v>
      </c>
      <c r="AC177" s="45"/>
      <c r="AD177" s="45"/>
      <c r="AE177" s="46"/>
      <c r="AF177" s="46"/>
      <c r="AG177" s="46"/>
      <c r="AH177" s="27" t="str">
        <f t="shared" si="2"/>
        <v xml:space="preserve">2013, 2016, 2020, </v>
      </c>
      <c r="AI177" s="29" t="s">
        <v>443</v>
      </c>
      <c r="AJ177" s="28" t="s">
        <v>444</v>
      </c>
      <c r="AK177" s="28"/>
    </row>
    <row r="178" spans="1:37" x14ac:dyDescent="0.2">
      <c r="A178" s="5">
        <v>175</v>
      </c>
      <c r="B178" s="37" t="s">
        <v>204</v>
      </c>
      <c r="C178" s="37" t="s">
        <v>445</v>
      </c>
      <c r="D178" s="37">
        <v>1</v>
      </c>
      <c r="E178" s="37">
        <v>0</v>
      </c>
      <c r="F178" s="37">
        <v>0</v>
      </c>
      <c r="G178" s="37">
        <v>0</v>
      </c>
      <c r="H178" s="37">
        <v>0</v>
      </c>
      <c r="I178" s="37">
        <v>0</v>
      </c>
      <c r="J178" s="37">
        <v>0</v>
      </c>
      <c r="K178" s="37">
        <v>1</v>
      </c>
      <c r="L178" s="37">
        <v>1</v>
      </c>
      <c r="M178" s="37">
        <v>1</v>
      </c>
      <c r="N178" s="37">
        <v>1</v>
      </c>
      <c r="O178" s="37">
        <v>1</v>
      </c>
      <c r="P178" s="37">
        <v>1</v>
      </c>
      <c r="Q178" s="37">
        <v>1</v>
      </c>
      <c r="R178" s="37">
        <v>1</v>
      </c>
      <c r="S178" s="37">
        <v>1</v>
      </c>
      <c r="T178" s="37">
        <v>1</v>
      </c>
      <c r="U178" s="37">
        <v>1</v>
      </c>
      <c r="V178" s="37">
        <v>1</v>
      </c>
      <c r="W178" s="37">
        <v>1</v>
      </c>
      <c r="X178" s="37">
        <v>1</v>
      </c>
      <c r="Y178" s="37">
        <v>1</v>
      </c>
      <c r="Z178" s="37">
        <v>1</v>
      </c>
      <c r="AA178" s="37">
        <v>1</v>
      </c>
      <c r="AB178" s="38">
        <v>1</v>
      </c>
      <c r="AC178" s="45">
        <v>1</v>
      </c>
      <c r="AD178" s="45">
        <v>1</v>
      </c>
      <c r="AE178" s="46">
        <v>1</v>
      </c>
      <c r="AF178" s="46"/>
      <c r="AG178" s="46"/>
      <c r="AH178" s="27" t="str">
        <f t="shared" si="2"/>
        <v xml:space="preserve">1996, 2003, 2004, 2005, 2006, 2007, 2008, 2009, 2010, 2011, 2012, 2013, 2014, 2015, 2016, 2017, 2018, 2019, 2020, 2021, 2022, 2023, </v>
      </c>
      <c r="AI178" s="28" t="s">
        <v>446</v>
      </c>
      <c r="AJ178" s="30"/>
      <c r="AK178" s="28"/>
    </row>
    <row r="179" spans="1:37" x14ac:dyDescent="0.2">
      <c r="A179" s="5">
        <v>176</v>
      </c>
      <c r="B179" s="37" t="s">
        <v>205</v>
      </c>
      <c r="C179" s="37" t="s">
        <v>447</v>
      </c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0</v>
      </c>
      <c r="J179" s="37">
        <v>0</v>
      </c>
      <c r="K179" s="39">
        <v>1</v>
      </c>
      <c r="L179" s="37">
        <v>0</v>
      </c>
      <c r="M179" s="39">
        <v>1</v>
      </c>
      <c r="N179" s="37">
        <v>0</v>
      </c>
      <c r="O179" s="39">
        <v>1</v>
      </c>
      <c r="P179" s="37">
        <v>0</v>
      </c>
      <c r="Q179" s="37">
        <v>0</v>
      </c>
      <c r="R179" s="37">
        <v>0</v>
      </c>
      <c r="S179" s="37">
        <v>0</v>
      </c>
      <c r="T179" s="37">
        <v>0</v>
      </c>
      <c r="U179" s="39">
        <v>1</v>
      </c>
      <c r="V179" s="37">
        <v>0</v>
      </c>
      <c r="W179" s="37">
        <v>0</v>
      </c>
      <c r="X179" s="39">
        <v>1</v>
      </c>
      <c r="Y179" s="37">
        <v>0</v>
      </c>
      <c r="Z179" s="37">
        <v>0</v>
      </c>
      <c r="AA179" s="37">
        <v>0</v>
      </c>
      <c r="AB179" s="38">
        <v>1</v>
      </c>
      <c r="AC179" s="45"/>
      <c r="AD179" s="45"/>
      <c r="AE179" s="46"/>
      <c r="AF179" s="46"/>
      <c r="AG179" s="46"/>
      <c r="AH179" s="27" t="str">
        <f t="shared" si="2"/>
        <v xml:space="preserve">2003, 2005, 2007, 2013, 2016, 2020, </v>
      </c>
      <c r="AI179" s="29" t="s">
        <v>448</v>
      </c>
      <c r="AJ179" s="28" t="s">
        <v>373</v>
      </c>
      <c r="AK179" s="28"/>
    </row>
    <row r="180" spans="1:37" x14ac:dyDescent="0.2">
      <c r="A180" s="5">
        <v>177</v>
      </c>
      <c r="B180" s="37" t="s">
        <v>206</v>
      </c>
      <c r="C180" s="37" t="s">
        <v>449</v>
      </c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0</v>
      </c>
      <c r="J180" s="37">
        <v>0</v>
      </c>
      <c r="K180" s="37">
        <v>0</v>
      </c>
      <c r="L180" s="37">
        <v>0</v>
      </c>
      <c r="M180" s="37">
        <v>0</v>
      </c>
      <c r="N180" s="37">
        <v>0</v>
      </c>
      <c r="O180" s="37">
        <v>0</v>
      </c>
      <c r="P180" s="37">
        <v>0</v>
      </c>
      <c r="Q180" s="37">
        <v>0</v>
      </c>
      <c r="R180" s="37">
        <v>0</v>
      </c>
      <c r="S180" s="37">
        <v>0</v>
      </c>
      <c r="T180" s="37">
        <v>0</v>
      </c>
      <c r="U180" s="37">
        <v>0</v>
      </c>
      <c r="V180" s="37">
        <v>0</v>
      </c>
      <c r="W180" s="37">
        <v>0</v>
      </c>
      <c r="X180" s="37">
        <v>0</v>
      </c>
      <c r="Y180" s="37">
        <v>1</v>
      </c>
      <c r="Z180" s="37">
        <v>1</v>
      </c>
      <c r="AA180" s="37">
        <v>0</v>
      </c>
      <c r="AB180" s="38">
        <v>1</v>
      </c>
      <c r="AC180" s="45"/>
      <c r="AD180" s="45"/>
      <c r="AE180" s="46"/>
      <c r="AF180" s="46"/>
      <c r="AG180" s="46"/>
      <c r="AH180" s="27" t="str">
        <f t="shared" si="2"/>
        <v xml:space="preserve">2017, 2018, 2020, </v>
      </c>
      <c r="AI180" s="28" t="s">
        <v>450</v>
      </c>
      <c r="AJ180" s="28"/>
      <c r="AK180" s="28"/>
    </row>
    <row r="181" spans="1:37" x14ac:dyDescent="0.2">
      <c r="A181" s="5">
        <v>178</v>
      </c>
      <c r="B181" s="37" t="s">
        <v>207</v>
      </c>
      <c r="C181" s="37" t="s">
        <v>451</v>
      </c>
      <c r="D181" s="39">
        <v>1</v>
      </c>
      <c r="E181" s="39">
        <v>1</v>
      </c>
      <c r="F181" s="39">
        <v>1</v>
      </c>
      <c r="G181" s="39">
        <v>1</v>
      </c>
      <c r="H181" s="39">
        <v>1</v>
      </c>
      <c r="I181" s="39">
        <v>1</v>
      </c>
      <c r="J181" s="39">
        <v>1</v>
      </c>
      <c r="K181" s="39">
        <v>1</v>
      </c>
      <c r="L181" s="39">
        <v>1</v>
      </c>
      <c r="M181" s="39">
        <v>1</v>
      </c>
      <c r="N181" s="39">
        <v>1</v>
      </c>
      <c r="O181" s="39">
        <v>1</v>
      </c>
      <c r="P181" s="39">
        <v>1</v>
      </c>
      <c r="Q181" s="39">
        <v>1</v>
      </c>
      <c r="R181" s="39">
        <v>1</v>
      </c>
      <c r="S181" s="39">
        <v>1</v>
      </c>
      <c r="T181" s="39">
        <v>1</v>
      </c>
      <c r="U181" s="39">
        <v>1</v>
      </c>
      <c r="V181" s="39">
        <v>1</v>
      </c>
      <c r="W181" s="39">
        <v>1</v>
      </c>
      <c r="X181" s="39">
        <v>1</v>
      </c>
      <c r="Y181" s="39">
        <v>1</v>
      </c>
      <c r="Z181" s="39">
        <v>1</v>
      </c>
      <c r="AA181" s="39">
        <v>1</v>
      </c>
      <c r="AB181" s="38">
        <v>1</v>
      </c>
      <c r="AC181" s="45">
        <v>1</v>
      </c>
      <c r="AD181" s="45">
        <v>1</v>
      </c>
      <c r="AE181" s="46">
        <v>1</v>
      </c>
      <c r="AF181" s="46">
        <v>1</v>
      </c>
      <c r="AG181" s="46"/>
      <c r="AH181" s="27" t="str">
        <f t="shared" si="2"/>
        <v xml:space="preserve">1996, 1997, 1998, 1999, 2000, 2001, 2002, 2003, 2004, 2005, 2006, 2007, 2008, 2009, 2010, 2011, 2012, 2013, 2014, 2015, 2016, 2017, 2018, 2019, 2020, 2021, 2022, 2023, 2024, </v>
      </c>
      <c r="AI181" s="29" t="s">
        <v>452</v>
      </c>
      <c r="AJ181" s="28" t="s">
        <v>453</v>
      </c>
      <c r="AK181" s="28"/>
    </row>
    <row r="182" spans="1:37" x14ac:dyDescent="0.2">
      <c r="A182" s="5">
        <v>179</v>
      </c>
      <c r="B182" s="37" t="s">
        <v>208</v>
      </c>
      <c r="C182" s="37" t="s">
        <v>454</v>
      </c>
      <c r="D182" s="37">
        <v>0</v>
      </c>
      <c r="E182" s="37">
        <v>0</v>
      </c>
      <c r="F182" s="37">
        <v>0</v>
      </c>
      <c r="G182" s="37">
        <v>0</v>
      </c>
      <c r="H182" s="37">
        <v>0</v>
      </c>
      <c r="I182" s="37">
        <v>0</v>
      </c>
      <c r="J182" s="37">
        <v>0</v>
      </c>
      <c r="K182" s="39">
        <v>1</v>
      </c>
      <c r="L182" s="37">
        <v>0</v>
      </c>
      <c r="M182" s="39">
        <v>1</v>
      </c>
      <c r="N182" s="39">
        <v>1</v>
      </c>
      <c r="O182" s="39">
        <v>1</v>
      </c>
      <c r="P182" s="39">
        <v>1</v>
      </c>
      <c r="Q182" s="39">
        <v>1</v>
      </c>
      <c r="R182" s="39">
        <v>1</v>
      </c>
      <c r="S182" s="39">
        <v>1</v>
      </c>
      <c r="T182" s="39">
        <v>1</v>
      </c>
      <c r="U182" s="39">
        <v>1</v>
      </c>
      <c r="V182" s="39">
        <v>1</v>
      </c>
      <c r="W182" s="39">
        <v>1</v>
      </c>
      <c r="X182" s="39">
        <v>1</v>
      </c>
      <c r="Y182" s="37">
        <v>0</v>
      </c>
      <c r="Z182" s="39">
        <v>1</v>
      </c>
      <c r="AA182" s="37">
        <v>1</v>
      </c>
      <c r="AB182" s="38">
        <v>0</v>
      </c>
      <c r="AC182" s="45"/>
      <c r="AD182" s="45"/>
      <c r="AE182" s="46"/>
      <c r="AF182" s="46"/>
      <c r="AG182" s="46"/>
      <c r="AH182" s="27" t="str">
        <f t="shared" si="2"/>
        <v xml:space="preserve">2003, 2005, 2006, 2007, 2008, 2009, 2010, 2011, 2012, 2013, 2014, 2015, 2016, 2018, 2019, </v>
      </c>
      <c r="AI182" s="29" t="s">
        <v>455</v>
      </c>
      <c r="AJ182" s="28"/>
      <c r="AK182" s="28"/>
    </row>
    <row r="183" spans="1:37" x14ac:dyDescent="0.2">
      <c r="A183" s="5">
        <v>180</v>
      </c>
      <c r="B183" s="37" t="s">
        <v>209</v>
      </c>
      <c r="C183" s="37" t="s">
        <v>456</v>
      </c>
      <c r="D183" s="37">
        <v>0</v>
      </c>
      <c r="E183" s="37">
        <v>0</v>
      </c>
      <c r="F183" s="37">
        <v>0</v>
      </c>
      <c r="G183" s="37">
        <v>0</v>
      </c>
      <c r="H183" s="37">
        <v>0</v>
      </c>
      <c r="I183" s="37">
        <v>0</v>
      </c>
      <c r="J183" s="37">
        <v>0</v>
      </c>
      <c r="K183" s="37">
        <v>0</v>
      </c>
      <c r="L183" s="37">
        <v>0</v>
      </c>
      <c r="M183" s="37">
        <v>0</v>
      </c>
      <c r="N183" s="37">
        <v>0</v>
      </c>
      <c r="O183" s="37">
        <v>0</v>
      </c>
      <c r="P183" s="37">
        <v>0</v>
      </c>
      <c r="Q183" s="37">
        <v>0</v>
      </c>
      <c r="R183" s="37">
        <v>0</v>
      </c>
      <c r="S183" s="37">
        <v>0</v>
      </c>
      <c r="T183" s="37">
        <v>0</v>
      </c>
      <c r="U183" s="37">
        <v>0</v>
      </c>
      <c r="V183" s="37">
        <v>0</v>
      </c>
      <c r="W183" s="37">
        <v>0</v>
      </c>
      <c r="X183" s="37">
        <v>0</v>
      </c>
      <c r="Y183" s="37">
        <v>0</v>
      </c>
      <c r="Z183" s="37">
        <v>0</v>
      </c>
      <c r="AA183" s="37">
        <v>0</v>
      </c>
      <c r="AB183" s="38">
        <v>1</v>
      </c>
      <c r="AC183" s="45"/>
      <c r="AD183" s="45"/>
      <c r="AE183" s="46"/>
      <c r="AF183" s="46">
        <v>1</v>
      </c>
      <c r="AG183" s="46"/>
      <c r="AH183" s="27" t="str">
        <f t="shared" si="2"/>
        <v xml:space="preserve">2020, 2024, </v>
      </c>
      <c r="AI183" s="28"/>
      <c r="AJ183" s="28"/>
      <c r="AK183" s="28"/>
    </row>
    <row r="184" spans="1:37" x14ac:dyDescent="0.2">
      <c r="A184" s="5">
        <v>181</v>
      </c>
      <c r="B184" s="37" t="s">
        <v>210</v>
      </c>
      <c r="C184" s="37" t="s">
        <v>457</v>
      </c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0</v>
      </c>
      <c r="J184" s="37">
        <v>0</v>
      </c>
      <c r="K184" s="39">
        <v>1</v>
      </c>
      <c r="L184" s="37">
        <v>0</v>
      </c>
      <c r="M184" s="39">
        <v>1</v>
      </c>
      <c r="N184" s="37">
        <v>0</v>
      </c>
      <c r="O184" s="39">
        <v>1</v>
      </c>
      <c r="P184" s="37">
        <v>0</v>
      </c>
      <c r="Q184" s="37">
        <v>0</v>
      </c>
      <c r="R184" s="37">
        <v>0</v>
      </c>
      <c r="S184" s="37">
        <v>0</v>
      </c>
      <c r="T184" s="37">
        <v>0</v>
      </c>
      <c r="U184" s="39">
        <v>1</v>
      </c>
      <c r="V184" s="37">
        <v>0</v>
      </c>
      <c r="W184" s="37">
        <v>0</v>
      </c>
      <c r="X184" s="39">
        <v>1</v>
      </c>
      <c r="Y184" s="37">
        <v>0</v>
      </c>
      <c r="Z184" s="37">
        <v>0</v>
      </c>
      <c r="AA184" s="37">
        <v>0</v>
      </c>
      <c r="AB184" s="38">
        <v>1</v>
      </c>
      <c r="AC184" s="45"/>
      <c r="AD184" s="45"/>
      <c r="AE184" s="46"/>
      <c r="AF184" s="46"/>
      <c r="AG184" s="46"/>
      <c r="AH184" s="27" t="str">
        <f t="shared" si="2"/>
        <v xml:space="preserve">2003, 2005, 2007, 2013, 2016, 2020, </v>
      </c>
      <c r="AI184" s="28" t="s">
        <v>458</v>
      </c>
      <c r="AJ184" s="28" t="s">
        <v>373</v>
      </c>
      <c r="AK184" s="28"/>
    </row>
    <row r="185" spans="1:37" x14ac:dyDescent="0.2">
      <c r="A185" s="5">
        <v>182</v>
      </c>
      <c r="B185" s="37" t="s">
        <v>211</v>
      </c>
      <c r="C185" s="37" t="s">
        <v>459</v>
      </c>
      <c r="D185" s="37">
        <v>0</v>
      </c>
      <c r="E185" s="37">
        <v>0</v>
      </c>
      <c r="F185" s="37">
        <v>0</v>
      </c>
      <c r="G185" s="37">
        <v>0</v>
      </c>
      <c r="H185" s="37">
        <v>0</v>
      </c>
      <c r="I185" s="37">
        <v>0</v>
      </c>
      <c r="J185" s="37">
        <v>0</v>
      </c>
      <c r="K185" s="37">
        <v>0</v>
      </c>
      <c r="L185" s="37">
        <v>0</v>
      </c>
      <c r="M185" s="37">
        <v>0</v>
      </c>
      <c r="N185" s="37">
        <v>0</v>
      </c>
      <c r="O185" s="37">
        <v>0</v>
      </c>
      <c r="P185" s="37">
        <v>0</v>
      </c>
      <c r="Q185" s="37">
        <v>0</v>
      </c>
      <c r="R185" s="37">
        <v>0</v>
      </c>
      <c r="S185" s="37">
        <v>0</v>
      </c>
      <c r="T185" s="37">
        <v>0</v>
      </c>
      <c r="U185" s="37">
        <v>0</v>
      </c>
      <c r="V185" s="37">
        <v>0</v>
      </c>
      <c r="W185" s="37">
        <v>0</v>
      </c>
      <c r="X185" s="37">
        <v>0</v>
      </c>
      <c r="Y185" s="37">
        <v>0</v>
      </c>
      <c r="Z185" s="37">
        <v>0</v>
      </c>
      <c r="AA185" s="37">
        <v>0</v>
      </c>
      <c r="AB185" s="38">
        <v>1</v>
      </c>
      <c r="AC185" s="45"/>
      <c r="AD185" s="45"/>
      <c r="AE185" s="46"/>
      <c r="AF185" s="46">
        <v>1</v>
      </c>
      <c r="AG185" s="46"/>
      <c r="AH185" s="27" t="str">
        <f t="shared" si="2"/>
        <v xml:space="preserve">2020, 2024, </v>
      </c>
      <c r="AI185" s="28"/>
      <c r="AJ185" s="28"/>
      <c r="AK185" s="28"/>
    </row>
    <row r="186" spans="1:37" x14ac:dyDescent="0.2">
      <c r="A186" s="5">
        <v>183</v>
      </c>
      <c r="B186" s="37" t="s">
        <v>212</v>
      </c>
      <c r="C186" s="37" t="s">
        <v>460</v>
      </c>
      <c r="D186" s="39">
        <v>1</v>
      </c>
      <c r="E186" s="39">
        <v>1</v>
      </c>
      <c r="F186" s="39">
        <v>1</v>
      </c>
      <c r="G186" s="39">
        <v>1</v>
      </c>
      <c r="H186" s="39">
        <v>1</v>
      </c>
      <c r="I186" s="39">
        <v>1</v>
      </c>
      <c r="J186" s="39">
        <v>1</v>
      </c>
      <c r="K186" s="39">
        <v>1</v>
      </c>
      <c r="L186" s="39">
        <v>1</v>
      </c>
      <c r="M186" s="39">
        <v>1</v>
      </c>
      <c r="N186" s="39">
        <v>1</v>
      </c>
      <c r="O186" s="39">
        <v>1</v>
      </c>
      <c r="P186" s="39">
        <v>1</v>
      </c>
      <c r="Q186" s="39">
        <v>1</v>
      </c>
      <c r="R186" s="39">
        <v>1</v>
      </c>
      <c r="S186" s="39">
        <v>1</v>
      </c>
      <c r="T186" s="39">
        <v>1</v>
      </c>
      <c r="U186" s="39">
        <v>1</v>
      </c>
      <c r="V186" s="39">
        <v>1</v>
      </c>
      <c r="W186" s="39">
        <v>1</v>
      </c>
      <c r="X186" s="39">
        <v>1</v>
      </c>
      <c r="Y186" s="39">
        <v>1</v>
      </c>
      <c r="Z186" s="39">
        <v>1</v>
      </c>
      <c r="AA186" s="39">
        <v>1</v>
      </c>
      <c r="AB186" s="39">
        <v>1</v>
      </c>
      <c r="AC186" s="46">
        <v>1</v>
      </c>
      <c r="AD186" s="46"/>
      <c r="AE186" s="46"/>
      <c r="AF186" s="46">
        <v>1</v>
      </c>
      <c r="AG186" s="46"/>
      <c r="AH186" s="27" t="str">
        <f t="shared" si="2"/>
        <v xml:space="preserve">1996, 1997, 1998, 1999, 2000, 2001, 2002, 2003, 2004, 2005, 2006, 2007, 2008, 2009, 2010, 2011, 2012, 2013, 2014, 2015, 2016, 2017, 2018, 2019, 2020, 2021, 2024, </v>
      </c>
      <c r="AI186" s="29" t="s">
        <v>461</v>
      </c>
      <c r="AJ186" s="29" t="s">
        <v>462</v>
      </c>
      <c r="AK186" s="28"/>
    </row>
    <row r="187" spans="1:37" x14ac:dyDescent="0.2">
      <c r="A187" s="5">
        <v>184</v>
      </c>
      <c r="B187" s="37" t="s">
        <v>213</v>
      </c>
      <c r="C187" s="37" t="s">
        <v>463</v>
      </c>
      <c r="D187" s="39">
        <v>1</v>
      </c>
      <c r="E187" s="37">
        <v>0</v>
      </c>
      <c r="F187" s="37">
        <v>0</v>
      </c>
      <c r="G187" s="39">
        <v>1</v>
      </c>
      <c r="H187" s="39">
        <v>1</v>
      </c>
      <c r="I187" s="37">
        <v>0</v>
      </c>
      <c r="J187" s="37">
        <v>0</v>
      </c>
      <c r="K187" s="39">
        <v>1</v>
      </c>
      <c r="L187" s="39">
        <v>1</v>
      </c>
      <c r="M187" s="39">
        <v>1</v>
      </c>
      <c r="N187" s="39">
        <v>1</v>
      </c>
      <c r="O187" s="37">
        <v>0</v>
      </c>
      <c r="P187" s="39">
        <v>1</v>
      </c>
      <c r="Q187" s="39">
        <v>1</v>
      </c>
      <c r="R187" s="39">
        <v>1</v>
      </c>
      <c r="S187" s="39">
        <v>1</v>
      </c>
      <c r="T187" s="37">
        <v>0</v>
      </c>
      <c r="U187" s="39">
        <v>1</v>
      </c>
      <c r="V187" s="39">
        <v>1</v>
      </c>
      <c r="W187" s="39">
        <v>1</v>
      </c>
      <c r="X187" s="39">
        <v>1</v>
      </c>
      <c r="Y187" s="39">
        <v>0</v>
      </c>
      <c r="Z187" s="39">
        <v>1</v>
      </c>
      <c r="AA187" s="39">
        <v>1</v>
      </c>
      <c r="AB187" s="39">
        <v>1</v>
      </c>
      <c r="AC187" s="46">
        <v>1</v>
      </c>
      <c r="AD187" s="46">
        <v>1</v>
      </c>
      <c r="AE187" s="46">
        <v>1</v>
      </c>
      <c r="AF187" s="46">
        <v>1</v>
      </c>
      <c r="AG187" s="46">
        <v>1</v>
      </c>
      <c r="AH187" s="27" t="str">
        <f t="shared" si="2"/>
        <v xml:space="preserve">1996, 1999, 2000, 2003, 2004, 2005, 2006, 2008, 2009, 2010, 2011, 2013, 2014, 2015, 2016, 2018, 2019, 2020, 2021, 2022, 2023, 2024, 2025, </v>
      </c>
      <c r="AI187" s="29" t="s">
        <v>464</v>
      </c>
      <c r="AJ187" s="29" t="s">
        <v>465</v>
      </c>
      <c r="AK187" s="28"/>
    </row>
    <row r="188" spans="1:37" x14ac:dyDescent="0.2">
      <c r="A188" s="5">
        <v>185</v>
      </c>
      <c r="B188" s="37" t="s">
        <v>214</v>
      </c>
      <c r="C188" s="37" t="s">
        <v>466</v>
      </c>
      <c r="D188" s="37">
        <v>0</v>
      </c>
      <c r="E188" s="39">
        <v>1</v>
      </c>
      <c r="F188" s="37">
        <v>0</v>
      </c>
      <c r="G188" s="37">
        <v>0</v>
      </c>
      <c r="H188" s="37">
        <v>0</v>
      </c>
      <c r="I188" s="37">
        <v>0</v>
      </c>
      <c r="J188" s="37">
        <v>0</v>
      </c>
      <c r="K188" s="39">
        <v>1</v>
      </c>
      <c r="L188" s="37">
        <v>0</v>
      </c>
      <c r="M188" s="39">
        <v>1</v>
      </c>
      <c r="N188" s="37">
        <v>0</v>
      </c>
      <c r="O188" s="39">
        <v>1</v>
      </c>
      <c r="P188" s="37">
        <v>0</v>
      </c>
      <c r="Q188" s="37">
        <v>0</v>
      </c>
      <c r="R188" s="37">
        <v>0</v>
      </c>
      <c r="S188" s="37">
        <v>0</v>
      </c>
      <c r="T188" s="37">
        <v>0</v>
      </c>
      <c r="U188" s="39">
        <v>1</v>
      </c>
      <c r="V188" s="37">
        <v>0</v>
      </c>
      <c r="W188" s="37">
        <v>0</v>
      </c>
      <c r="X188" s="39">
        <v>1</v>
      </c>
      <c r="Y188" s="37">
        <v>0</v>
      </c>
      <c r="Z188" s="37">
        <v>0</v>
      </c>
      <c r="AA188" s="37">
        <v>0</v>
      </c>
      <c r="AB188" s="38">
        <v>1</v>
      </c>
      <c r="AC188" s="45"/>
      <c r="AD188" s="45"/>
      <c r="AE188" s="46"/>
      <c r="AF188" s="46">
        <v>1</v>
      </c>
      <c r="AG188" s="46"/>
      <c r="AH188" s="27" t="str">
        <f t="shared" si="2"/>
        <v xml:space="preserve">1997, 2003, 2005, 2007, 2013, 2016, 2020, 2024, </v>
      </c>
      <c r="AI188" s="28" t="s">
        <v>467</v>
      </c>
      <c r="AJ188" s="28" t="s">
        <v>468</v>
      </c>
      <c r="AK188" s="28"/>
    </row>
    <row r="189" spans="1:37" x14ac:dyDescent="0.2">
      <c r="A189" s="5">
        <v>186</v>
      </c>
      <c r="B189" s="37" t="s">
        <v>215</v>
      </c>
      <c r="C189" s="37" t="s">
        <v>469</v>
      </c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0</v>
      </c>
      <c r="J189" s="37">
        <v>0</v>
      </c>
      <c r="K189" s="37">
        <v>0</v>
      </c>
      <c r="L189" s="37">
        <v>0</v>
      </c>
      <c r="M189" s="37">
        <v>0</v>
      </c>
      <c r="N189" s="37">
        <v>0</v>
      </c>
      <c r="O189" s="37">
        <v>0</v>
      </c>
      <c r="P189" s="37">
        <v>0</v>
      </c>
      <c r="Q189" s="37">
        <v>0</v>
      </c>
      <c r="R189" s="37">
        <v>0</v>
      </c>
      <c r="S189" s="37">
        <v>0</v>
      </c>
      <c r="T189" s="37">
        <v>0</v>
      </c>
      <c r="U189" s="37">
        <v>0</v>
      </c>
      <c r="V189" s="37">
        <v>0</v>
      </c>
      <c r="W189" s="37">
        <v>0</v>
      </c>
      <c r="X189" s="37">
        <v>0</v>
      </c>
      <c r="Y189" s="37">
        <v>0</v>
      </c>
      <c r="Z189" s="37">
        <v>0</v>
      </c>
      <c r="AA189" s="37">
        <v>0</v>
      </c>
      <c r="AB189" s="38">
        <v>0</v>
      </c>
      <c r="AC189" s="45"/>
      <c r="AD189" s="45"/>
      <c r="AE189" s="46"/>
      <c r="AF189" s="46">
        <v>1</v>
      </c>
      <c r="AG189" s="46"/>
      <c r="AH189" s="27" t="str">
        <f t="shared" si="2"/>
        <v xml:space="preserve">2024, </v>
      </c>
      <c r="AI189" s="28"/>
      <c r="AJ189" s="28"/>
      <c r="AK189" s="28"/>
    </row>
    <row r="190" spans="1:37" x14ac:dyDescent="0.2">
      <c r="A190" s="5">
        <v>187</v>
      </c>
      <c r="B190" s="37" t="s">
        <v>216</v>
      </c>
      <c r="C190" s="37" t="s">
        <v>470</v>
      </c>
      <c r="D190" s="37">
        <v>0</v>
      </c>
      <c r="E190" s="37">
        <v>0</v>
      </c>
      <c r="F190" s="37">
        <v>0</v>
      </c>
      <c r="G190" s="37">
        <v>0</v>
      </c>
      <c r="H190" s="37">
        <v>0</v>
      </c>
      <c r="I190" s="37">
        <v>0</v>
      </c>
      <c r="J190" s="37">
        <v>0</v>
      </c>
      <c r="K190" s="37">
        <v>0</v>
      </c>
      <c r="L190" s="37">
        <v>0</v>
      </c>
      <c r="M190" s="37">
        <v>0</v>
      </c>
      <c r="N190" s="37">
        <v>0</v>
      </c>
      <c r="O190" s="37">
        <v>0</v>
      </c>
      <c r="P190" s="37">
        <v>0</v>
      </c>
      <c r="Q190" s="37">
        <v>0</v>
      </c>
      <c r="R190" s="37">
        <v>0</v>
      </c>
      <c r="S190" s="37">
        <v>0</v>
      </c>
      <c r="T190" s="37">
        <v>0</v>
      </c>
      <c r="U190" s="37">
        <v>0</v>
      </c>
      <c r="V190" s="37">
        <v>0</v>
      </c>
      <c r="W190" s="37">
        <v>0</v>
      </c>
      <c r="X190" s="37">
        <v>0</v>
      </c>
      <c r="Y190" s="37">
        <v>0</v>
      </c>
      <c r="Z190" s="37">
        <v>1</v>
      </c>
      <c r="AA190" s="37">
        <v>1</v>
      </c>
      <c r="AB190" s="38">
        <v>1</v>
      </c>
      <c r="AC190" s="45">
        <v>1</v>
      </c>
      <c r="AD190" s="45">
        <v>1</v>
      </c>
      <c r="AE190" s="46">
        <v>1</v>
      </c>
      <c r="AF190" s="46">
        <v>1</v>
      </c>
      <c r="AG190" s="46"/>
      <c r="AH190" s="27" t="str">
        <f t="shared" si="2"/>
        <v xml:space="preserve">2018, 2019, 2020, 2021, 2022, 2023, 2024, </v>
      </c>
      <c r="AI190" s="28" t="s">
        <v>471</v>
      </c>
      <c r="AJ190" s="28"/>
      <c r="AK190" s="28"/>
    </row>
    <row r="191" spans="1:37" x14ac:dyDescent="0.2">
      <c r="A191" s="5">
        <v>188</v>
      </c>
      <c r="B191" s="37" t="s">
        <v>217</v>
      </c>
      <c r="C191" s="37" t="s">
        <v>472</v>
      </c>
      <c r="D191" s="37">
        <v>0</v>
      </c>
      <c r="E191" s="37">
        <v>0</v>
      </c>
      <c r="F191" s="37">
        <v>0</v>
      </c>
      <c r="G191" s="37">
        <v>0</v>
      </c>
      <c r="H191" s="37">
        <v>0</v>
      </c>
      <c r="I191" s="37">
        <v>0</v>
      </c>
      <c r="J191" s="37">
        <v>0</v>
      </c>
      <c r="K191" s="39">
        <v>1</v>
      </c>
      <c r="L191" s="37">
        <v>0</v>
      </c>
      <c r="M191" s="39">
        <v>1</v>
      </c>
      <c r="N191" s="37">
        <v>0</v>
      </c>
      <c r="O191" s="39">
        <v>1</v>
      </c>
      <c r="P191" s="37">
        <v>0</v>
      </c>
      <c r="Q191" s="37">
        <v>0</v>
      </c>
      <c r="R191" s="37">
        <v>0</v>
      </c>
      <c r="S191" s="37">
        <v>0</v>
      </c>
      <c r="T191" s="37">
        <v>0</v>
      </c>
      <c r="U191" s="39">
        <v>1</v>
      </c>
      <c r="V191" s="37">
        <v>0</v>
      </c>
      <c r="W191" s="37">
        <v>0</v>
      </c>
      <c r="X191" s="39">
        <v>1</v>
      </c>
      <c r="Y191" s="37">
        <v>0</v>
      </c>
      <c r="Z191" s="37">
        <v>0</v>
      </c>
      <c r="AA191" s="37">
        <v>0</v>
      </c>
      <c r="AB191" s="38">
        <v>1</v>
      </c>
      <c r="AC191" s="45"/>
      <c r="AD191" s="45"/>
      <c r="AE191" s="46"/>
      <c r="AF191" s="46">
        <v>1</v>
      </c>
      <c r="AG191" s="46"/>
      <c r="AH191" s="27" t="str">
        <f t="shared" si="2"/>
        <v xml:space="preserve">2003, 2005, 2007, 2013, 2016, 2020, 2024, </v>
      </c>
      <c r="AI191" s="28" t="s">
        <v>473</v>
      </c>
      <c r="AJ191" s="28"/>
      <c r="AK191" s="28"/>
    </row>
    <row r="192" spans="1:37" x14ac:dyDescent="0.2">
      <c r="A192" s="5">
        <v>189</v>
      </c>
      <c r="B192" s="37" t="s">
        <v>218</v>
      </c>
      <c r="C192" s="37" t="s">
        <v>474</v>
      </c>
      <c r="D192" s="37">
        <v>0</v>
      </c>
      <c r="E192" s="37">
        <v>0</v>
      </c>
      <c r="F192" s="37">
        <v>0</v>
      </c>
      <c r="G192" s="37">
        <v>0</v>
      </c>
      <c r="H192" s="37">
        <v>0</v>
      </c>
      <c r="I192" s="37">
        <v>0</v>
      </c>
      <c r="J192" s="37">
        <v>0</v>
      </c>
      <c r="K192" s="37">
        <v>0</v>
      </c>
      <c r="L192" s="37">
        <v>0</v>
      </c>
      <c r="M192" s="37">
        <v>0</v>
      </c>
      <c r="N192" s="37">
        <v>0</v>
      </c>
      <c r="O192" s="37">
        <v>0</v>
      </c>
      <c r="P192" s="37">
        <v>0</v>
      </c>
      <c r="Q192" s="37">
        <v>0</v>
      </c>
      <c r="R192" s="37">
        <v>0</v>
      </c>
      <c r="S192" s="37">
        <v>0</v>
      </c>
      <c r="T192" s="37">
        <v>0</v>
      </c>
      <c r="U192" s="39">
        <v>1</v>
      </c>
      <c r="V192" s="37">
        <v>0</v>
      </c>
      <c r="W192" s="37">
        <v>0</v>
      </c>
      <c r="X192" s="39">
        <v>1</v>
      </c>
      <c r="Y192" s="37">
        <v>0</v>
      </c>
      <c r="Z192" s="37">
        <v>0</v>
      </c>
      <c r="AA192" s="37">
        <v>0</v>
      </c>
      <c r="AB192" s="38">
        <v>1</v>
      </c>
      <c r="AC192" s="45"/>
      <c r="AD192" s="45"/>
      <c r="AE192" s="46"/>
      <c r="AF192" s="46">
        <v>1</v>
      </c>
      <c r="AG192" s="46"/>
      <c r="AH192" s="27" t="str">
        <f t="shared" si="2"/>
        <v xml:space="preserve">2013, 2016, 2020, 2024, </v>
      </c>
      <c r="AI192" s="29" t="s">
        <v>373</v>
      </c>
      <c r="AJ192" s="30"/>
      <c r="AK192" s="30"/>
    </row>
    <row r="193" spans="1:37" x14ac:dyDescent="0.2">
      <c r="A193" s="5">
        <v>190</v>
      </c>
      <c r="B193" s="37" t="s">
        <v>219</v>
      </c>
      <c r="C193" s="37" t="s">
        <v>475</v>
      </c>
      <c r="D193" s="39">
        <v>1</v>
      </c>
      <c r="E193" s="39">
        <v>1</v>
      </c>
      <c r="F193" s="39">
        <v>1</v>
      </c>
      <c r="G193" s="39">
        <v>1</v>
      </c>
      <c r="H193" s="39">
        <v>1</v>
      </c>
      <c r="I193" s="39">
        <v>1</v>
      </c>
      <c r="J193" s="39">
        <v>1</v>
      </c>
      <c r="K193" s="39">
        <v>1</v>
      </c>
      <c r="L193" s="39">
        <v>1</v>
      </c>
      <c r="M193" s="39">
        <v>1</v>
      </c>
      <c r="N193" s="39">
        <v>1</v>
      </c>
      <c r="O193" s="39">
        <v>1</v>
      </c>
      <c r="P193" s="39">
        <v>1</v>
      </c>
      <c r="Q193" s="39">
        <v>1</v>
      </c>
      <c r="R193" s="39">
        <v>1</v>
      </c>
      <c r="S193" s="39">
        <v>1</v>
      </c>
      <c r="T193" s="39">
        <v>1</v>
      </c>
      <c r="U193" s="39">
        <v>1</v>
      </c>
      <c r="V193" s="39">
        <v>1</v>
      </c>
      <c r="W193" s="39">
        <v>1</v>
      </c>
      <c r="X193" s="39">
        <v>1</v>
      </c>
      <c r="Y193" s="39">
        <v>1</v>
      </c>
      <c r="Z193" s="39">
        <v>1</v>
      </c>
      <c r="AA193" s="39">
        <v>1</v>
      </c>
      <c r="AB193" s="39">
        <v>1</v>
      </c>
      <c r="AC193" s="46">
        <v>1</v>
      </c>
      <c r="AD193" s="46">
        <v>1</v>
      </c>
      <c r="AE193" s="46">
        <v>1</v>
      </c>
      <c r="AF193" s="46">
        <v>1</v>
      </c>
      <c r="AG193" s="46">
        <v>1</v>
      </c>
      <c r="AH193" s="27" t="str">
        <f t="shared" si="2"/>
        <v xml:space="preserve">1996, 1997, 1998, 1999, 2000, 2001, 2002, 2003, 2004, 2005, 2006, 2007, 2008, 2009, 2010, 2011, 2012, 2013, 2014, 2015, 2016, 2017, 2018, 2019, 2020, 2021, 2022, 2023, 2024, 2025, </v>
      </c>
      <c r="AI193" s="29" t="s">
        <v>476</v>
      </c>
      <c r="AJ193" s="29" t="s">
        <v>477</v>
      </c>
      <c r="AK193" s="28"/>
    </row>
  </sheetData>
  <hyperlinks>
    <hyperlink ref="AJ169" r:id="rId1" display="https://www.statistischebibliothek.de/mir/receive/DESerie_mods_00000028" xr:uid="{64074C36-1320-43AE-9C60-6CEAACFA2BA0}"/>
    <hyperlink ref="AI171" r:id="rId2" xr:uid="{04FF4783-FB0B-4F75-AFA7-7F57A4010060}"/>
    <hyperlink ref="AI175" r:id="rId3" xr:uid="{36E5813B-847C-48BC-853B-E88A32395847}"/>
    <hyperlink ref="AI166" r:id="rId4" location="a2" xr:uid="{4B9B6E1D-0A9D-44E4-9FEF-75EBEB7C668F}"/>
    <hyperlink ref="AI173" r:id="rId5" xr:uid="{57600371-5DA5-4430-986B-C1AD5DD2B758}"/>
    <hyperlink ref="AI186" r:id="rId6" xr:uid="{DB70C41F-DFD8-4A1A-9749-900A33E766EE}"/>
    <hyperlink ref="AI187" r:id="rId7" location="/nz.govt.stats/6362a469-f374-412e-ac25-d76fd0962003" xr:uid="{C85DEBE5-5AA3-45EE-9064-99362C4B744E}"/>
    <hyperlink ref="AI172" r:id="rId8" location="3-Statistical-presentation-2" xr:uid="{EAFD244C-C88C-49C1-95EE-E77635909262}"/>
    <hyperlink ref="AI161" r:id="rId9" xr:uid="{5947EAC5-C00F-461B-AA48-39E80867D4A2}"/>
    <hyperlink ref="AI162" r:id="rId10" xr:uid="{7CCE6DD2-8640-48CF-AE43-A1FFA2B5C79B}"/>
    <hyperlink ref="AI163" r:id="rId11" xr:uid="{7E60D4E2-E073-4C70-8B1E-AFB8678A84F9}"/>
    <hyperlink ref="AI170" r:id="rId12" xr:uid="{773411CE-A0FF-4196-8F99-AB3E5A55A0C8}"/>
    <hyperlink ref="AI169" r:id="rId13" xr:uid="{DEDB5A42-D99B-4AF9-9669-546C375F720D}"/>
    <hyperlink ref="AK169" r:id="rId14" location="abreadcrumb" xr:uid="{37E0F851-A453-4E88-9363-845512114BD3}"/>
    <hyperlink ref="AJ172" r:id="rId15" location="18-Statistical-processing-17" xr:uid="{EE6616E6-33A5-4676-96A8-76961D9D8DEC}"/>
    <hyperlink ref="AK172" r:id="rId16" xr:uid="{82752944-CE6B-41DF-8B5D-8902B604D12B}"/>
    <hyperlink ref="AI176" r:id="rId17" xr:uid="{CCD52F17-2907-4084-A32A-D9FFFEE88A9B}"/>
    <hyperlink ref="AI168" r:id="rId18" xr:uid="{45368160-629C-453D-8C86-9AE30AAB3997}"/>
    <hyperlink ref="AJ168" r:id="rId19" xr:uid="{5D3AF745-8F06-4A89-BD79-CD1F6BC2DA03}"/>
    <hyperlink ref="AI152" r:id="rId20" xr:uid="{0133DC5D-FBFE-421A-8CCB-A1ECB92FA7F0}"/>
    <hyperlink ref="AI153" r:id="rId21" xr:uid="{A0EBF81D-5BFF-453A-8734-5533B3577157}"/>
    <hyperlink ref="AI154" r:id="rId22" xr:uid="{E23215D3-D486-402B-B735-1C3B02197972}"/>
    <hyperlink ref="AI157" r:id="rId23" xr:uid="{BE4294C8-BBE9-4C54-9626-ABD0DF8CAE7A}"/>
    <hyperlink ref="AJ163" r:id="rId24" xr:uid="{B74CB5A0-66DE-4544-829C-FE159F8CBBD8}"/>
    <hyperlink ref="AJ162" r:id="rId25" xr:uid="{6E17708A-BF8B-42B6-A77D-5A0B0026CB61}"/>
    <hyperlink ref="AI167" r:id="rId26" xr:uid="{0CE3E2BB-9CC0-4BB6-9B85-9A80A481EE01}"/>
    <hyperlink ref="AJ167" r:id="rId27" xr:uid="{DAE03791-F12D-4993-9F51-4DD8B0007E04}"/>
    <hyperlink ref="AL169" r:id="rId28" xr:uid="{24E4EBAD-ACE5-4C85-9761-1B8E64C2C791}"/>
    <hyperlink ref="AI174" r:id="rId29" xr:uid="{2208C5FF-F7AB-4181-B4EC-B4BBA9737A3E}"/>
    <hyperlink ref="AJ176" r:id="rId30" xr:uid="{898A8C2F-4E7F-4852-8FB4-65BE558E61E1}"/>
    <hyperlink ref="AI177" r:id="rId31" xr:uid="{D9B1CDFB-A53E-45F2-98A8-F8D9730074E6}"/>
    <hyperlink ref="AI179" r:id="rId32" xr:uid="{DB99AEDF-6480-4DB4-8039-FA0C8B9C723A}"/>
    <hyperlink ref="AI181" r:id="rId33" xr:uid="{DF83BE7F-4F1C-4CB9-9E12-7D07B38A5DDA}"/>
    <hyperlink ref="AI182" r:id="rId34" xr:uid="{B500CA5F-4492-4F93-B01C-70EFBDD12A6F}"/>
    <hyperlink ref="AJ186" r:id="rId35" xr:uid="{33BF0F16-C844-42E2-BAFE-B565880934F5}"/>
    <hyperlink ref="AJ187" r:id="rId36" xr:uid="{E4E39A4C-71C1-493C-B9A9-47C98F9CAED5}"/>
    <hyperlink ref="AI193" r:id="rId37" xr:uid="{FD39834B-170E-49C6-B11D-9B0850FCAFED}"/>
    <hyperlink ref="AJ193" r:id="rId38" xr:uid="{6B4FD5B1-5068-4B3F-B331-9199373ABBFF}"/>
    <hyperlink ref="AI151" r:id="rId39" xr:uid="{611436FD-D021-483E-8AC5-03E78F7001EF}"/>
    <hyperlink ref="AI192" r:id="rId40" xr:uid="{7505B978-54EB-49B9-8332-8ADEF37D11DB}"/>
    <hyperlink ref="AI155" r:id="rId41" xr:uid="{99EE260C-E967-410E-8999-C67A9188A5F9}"/>
    <hyperlink ref="AJ161" r:id="rId42" xr:uid="{3EBE222D-03E1-478F-A96F-5F5AB1924C6A}"/>
    <hyperlink ref="AK161" r:id="rId43" xr:uid="{15EA527C-848F-42BF-87A6-D938CAFA24B2}"/>
    <hyperlink ref="AM161" r:id="rId44" xr:uid="{D64FCDE3-E51D-454F-9F08-0D820D5C6D7D}"/>
    <hyperlink ref="AK163" r:id="rId45" xr:uid="{BC96C27E-7B71-4F36-A362-843C90263C4C}"/>
    <hyperlink ref="AJ166" r:id="rId46" xr:uid="{3A23ABD2-6957-4604-BE28-A93EE0BFC6FA}"/>
    <hyperlink ref="AJ170" r:id="rId47" xr:uid="{477DB110-C843-4EFC-B028-6AD16A59E7EE}"/>
    <hyperlink ref="AJ171" r:id="rId48" xr:uid="{8B3C149A-0B50-4B22-A2FF-68971E2C500D}"/>
    <hyperlink ref="AK171" r:id="rId49" xr:uid="{674E1B0A-8A7E-4384-8F1F-DEB853F7D991}"/>
    <hyperlink ref="AL176" r:id="rId50" xr:uid="{09E65C4F-E0D3-4BC0-9FBB-8D7A38937092}"/>
  </hyperlinks>
  <pageMargins left="0.7" right="0.7" top="0.75" bottom="0.75" header="0.3" footer="0.3"/>
  <pageSetup orientation="portrait" r:id="rId51"/>
  <headerFooter>
    <oddFooter>&amp;R_x000D_&amp;1#&amp;"Aptos"&amp;10&amp;K000000 Official Use Only</oddFooter>
  </headerFooter>
  <legacyDrawing r:id="rId5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01F0D6-2591-4A68-815D-C98503A36C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EEE91F-8CDF-4F2C-85D3-58EC881B6941}">
  <ds:schemaRefs>
    <ds:schemaRef ds:uri="http://schemas.microsoft.com/office/2006/metadata/properties"/>
    <ds:schemaRef ds:uri="http://purl.org/dc/elements/1.1/"/>
    <ds:schemaRef ds:uri="e781ea9d-1795-4792-8d8d-c86ae526af93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b19ad29f-88fa-4d62-ac16-34b992563bf9"/>
    <ds:schemaRef ds:uri="http://schemas.microsoft.com/office/infopath/2007/PartnerControls"/>
    <ds:schemaRef ds:uri="3e02667f-0271-471b-bd6e-11a2e16def1d"/>
  </ds:schemaRefs>
</ds:datastoreItem>
</file>

<file path=customXml/itemProps3.xml><?xml version="1.0" encoding="utf-8"?>
<ds:datastoreItem xmlns:ds="http://schemas.openxmlformats.org/officeDocument/2006/customXml" ds:itemID="{3B199E69-5DD2-46D3-99E7-CEF1DD03AE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ad29f-88fa-4d62-ac16-34b992563bf9"/>
    <ds:schemaRef ds:uri="e781ea9d-1795-4792-8d8d-c86ae526af93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 DCS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Barboza</dc:creator>
  <cp:keywords/>
  <dc:description/>
  <cp:lastModifiedBy>Zander Prinsloo</cp:lastModifiedBy>
  <cp:revision/>
  <dcterms:created xsi:type="dcterms:W3CDTF">2019-06-14T15:02:34Z</dcterms:created>
  <dcterms:modified xsi:type="dcterms:W3CDTF">2026-10-21T08:50:40Z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  <property fmtid="{D5CDD505-2E9C-101B-9397-08002B2CF9AE}" pid="6" name="MSIP_Label_f1bf45b6-5649-4236-82a3-f45024cd282e_Enabled">
    <vt:lpwstr>true</vt:lpwstr>
  </property>
  <property fmtid="{D5CDD505-2E9C-101B-9397-08002B2CF9AE}" pid="7" name="MSIP_Label_f1bf45b6-5649-4236-82a3-f45024cd282e_SetDate">
    <vt:lpwstr>2026-10-21T08:45:54Z</vt:lpwstr>
  </property>
  <property fmtid="{D5CDD505-2E9C-101B-9397-08002B2CF9AE}" pid="8" name="MSIP_Label_f1bf45b6-5649-4236-82a3-f45024cd282e_Method">
    <vt:lpwstr>Standard</vt:lpwstr>
  </property>
  <property fmtid="{D5CDD505-2E9C-101B-9397-08002B2CF9AE}" pid="9" name="MSIP_Label_f1bf45b6-5649-4236-82a3-f45024cd282e_Name">
    <vt:lpwstr>Official Use Only</vt:lpwstr>
  </property>
  <property fmtid="{D5CDD505-2E9C-101B-9397-08002B2CF9AE}" pid="10" name="MSIP_Label_f1bf45b6-5649-4236-82a3-f45024cd282e_SiteId">
    <vt:lpwstr>31a2fec0-266b-4c67-b56e-2796d8f59c36</vt:lpwstr>
  </property>
  <property fmtid="{D5CDD505-2E9C-101B-9397-08002B2CF9AE}" pid="11" name="MSIP_Label_f1bf45b6-5649-4236-82a3-f45024cd282e_ActionId">
    <vt:lpwstr>9a3162d7-a1a9-4bc9-b590-f3c7fe9de83a</vt:lpwstr>
  </property>
  <property fmtid="{D5CDD505-2E9C-101B-9397-08002B2CF9AE}" pid="12" name="MSIP_Label_f1bf45b6-5649-4236-82a3-f45024cd282e_ContentBits">
    <vt:lpwstr>2</vt:lpwstr>
  </property>
  <property fmtid="{D5CDD505-2E9C-101B-9397-08002B2CF9AE}" pid="13" name="MSIP_Label_f1bf45b6-5649-4236-82a3-f45024cd282e_Tag">
    <vt:lpwstr>50, 3, 0, 1</vt:lpwstr>
  </property>
</Properties>
</file>