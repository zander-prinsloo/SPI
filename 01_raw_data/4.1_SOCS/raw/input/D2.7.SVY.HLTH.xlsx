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1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zprinsloo_worldbank_org/Documents/spi/technical-work/SPI-Zander/SPI/01_raw_data/4.1_SOCS/raw/input/"/>
    </mc:Choice>
  </mc:AlternateContent>
  <xr:revisionPtr revIDLastSave="557" documentId="13_ncr:1_{11FE9B5C-999D-4F88-92BE-56D25BAF2225}" xr6:coauthVersionLast="47" xr6:coauthVersionMax="47" xr10:uidLastSave="{3D58F3F9-B535-AF4D-AE9E-5FE8B70B1664}"/>
  <bookViews>
    <workbookView xWindow="0" yWindow="660" windowWidth="34560" windowHeight="21680" tabRatio="735" firstSheet="1" activeTab="1" xr2:uid="{00000000-000D-0000-FFFF-FFFF00000000}"/>
  </bookViews>
  <sheets>
    <sheet name="2016-20 DCS" sheetId="35" r:id="rId1"/>
    <sheet name="NSO websites" sheetId="34" r:id="rId2"/>
    <sheet name="15 vs 14 2002-2006" sheetId="4" state="hidden" r:id="rId3"/>
  </sheets>
  <definedNames>
    <definedName name="_xlnm._FilterDatabase" localSheetId="1" hidden="1">'NSO websites'!$A$3:$AN$148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5" i="34" l="1"/>
  <c r="AY6" i="34"/>
  <c r="AY7" i="34"/>
  <c r="AY8" i="34"/>
  <c r="AY9" i="34"/>
  <c r="AY10" i="34"/>
  <c r="AY11" i="34"/>
  <c r="AY12" i="34"/>
  <c r="AY13" i="34"/>
  <c r="AY14" i="34"/>
  <c r="AY15" i="34"/>
  <c r="AY16" i="34"/>
  <c r="AY17" i="34"/>
  <c r="AY18" i="34"/>
  <c r="AY19" i="34"/>
  <c r="AY20" i="34"/>
  <c r="AY21" i="34"/>
  <c r="AY22" i="34"/>
  <c r="AY23" i="34"/>
  <c r="AY24" i="34"/>
  <c r="AY25" i="34"/>
  <c r="AY26" i="34"/>
  <c r="AY27" i="34"/>
  <c r="AY28" i="34"/>
  <c r="AY29" i="34"/>
  <c r="AY30" i="34"/>
  <c r="AY31" i="34"/>
  <c r="AY32" i="34"/>
  <c r="AY33" i="34"/>
  <c r="AY34" i="34"/>
  <c r="AY35" i="34"/>
  <c r="AY36" i="34"/>
  <c r="AY37" i="34"/>
  <c r="AY38" i="34"/>
  <c r="AY39" i="34"/>
  <c r="AY40" i="34"/>
  <c r="AY41" i="34"/>
  <c r="AY42" i="34"/>
  <c r="AY43" i="34"/>
  <c r="AY44" i="34"/>
  <c r="AY45" i="34"/>
  <c r="AY46" i="34"/>
  <c r="AY47" i="34"/>
  <c r="AY48" i="34"/>
  <c r="AY49" i="34"/>
  <c r="AY50" i="34"/>
  <c r="AY51" i="34"/>
  <c r="AY52" i="34"/>
  <c r="AY53" i="34"/>
  <c r="AY54" i="34"/>
  <c r="AY55" i="34"/>
  <c r="AY56" i="34"/>
  <c r="AY57" i="34"/>
  <c r="AY58" i="34"/>
  <c r="AY59" i="34"/>
  <c r="AY60" i="34"/>
  <c r="AY61" i="34"/>
  <c r="AY62" i="34"/>
  <c r="AY63" i="34"/>
  <c r="AY64" i="34"/>
  <c r="AY65" i="34"/>
  <c r="AY66" i="34"/>
  <c r="AY67" i="34"/>
  <c r="AY68" i="34"/>
  <c r="AY69" i="34"/>
  <c r="AY70" i="34"/>
  <c r="AY71" i="34"/>
  <c r="AY72" i="34"/>
  <c r="AY73" i="34"/>
  <c r="AY74" i="34"/>
  <c r="AY75" i="34"/>
  <c r="AY76" i="34"/>
  <c r="AY77" i="34"/>
  <c r="AY78" i="34"/>
  <c r="AY79" i="34"/>
  <c r="AY80" i="34"/>
  <c r="AY81" i="34"/>
  <c r="AY82" i="34"/>
  <c r="AY83" i="34"/>
  <c r="AY84" i="34"/>
  <c r="AY85" i="34"/>
  <c r="AY86" i="34"/>
  <c r="AY87" i="34"/>
  <c r="AY88" i="34"/>
  <c r="AY89" i="34"/>
  <c r="AY90" i="34"/>
  <c r="AY91" i="34"/>
  <c r="AY92" i="34"/>
  <c r="AY93" i="34"/>
  <c r="AY94" i="34"/>
  <c r="AY95" i="34"/>
  <c r="AY96" i="34"/>
  <c r="AY97" i="34"/>
  <c r="AY98" i="34"/>
  <c r="AY99" i="34"/>
  <c r="AY100" i="34"/>
  <c r="AY101" i="34"/>
  <c r="AY102" i="34"/>
  <c r="AY103" i="34"/>
  <c r="AY104" i="34"/>
  <c r="AY105" i="34"/>
  <c r="AY106" i="34"/>
  <c r="AY107" i="34"/>
  <c r="AY108" i="34"/>
  <c r="AY109" i="34"/>
  <c r="AY110" i="34"/>
  <c r="AY111" i="34"/>
  <c r="AY112" i="34"/>
  <c r="AY113" i="34"/>
  <c r="AY114" i="34"/>
  <c r="AY115" i="34"/>
  <c r="AY116" i="34"/>
  <c r="AY117" i="34"/>
  <c r="AY118" i="34"/>
  <c r="AY119" i="34"/>
  <c r="AY120" i="34"/>
  <c r="AY121" i="34"/>
  <c r="AY122" i="34"/>
  <c r="AY123" i="34"/>
  <c r="AY124" i="34"/>
  <c r="AY125" i="34"/>
  <c r="AY126" i="34"/>
  <c r="AY127" i="34"/>
  <c r="AY128" i="34"/>
  <c r="AY129" i="34"/>
  <c r="AY130" i="34"/>
  <c r="AY131" i="34"/>
  <c r="AY132" i="34"/>
  <c r="AY133" i="34"/>
  <c r="AY134" i="34"/>
  <c r="AY135" i="34"/>
  <c r="AY136" i="34"/>
  <c r="AY137" i="34"/>
  <c r="AY138" i="34"/>
  <c r="AY139" i="34"/>
  <c r="AY140" i="34"/>
  <c r="AY141" i="34"/>
  <c r="AY142" i="34"/>
  <c r="AY143" i="34"/>
  <c r="AY144" i="34"/>
  <c r="AY145" i="34"/>
  <c r="AY146" i="34"/>
  <c r="AY147" i="34"/>
  <c r="AY148" i="34"/>
  <c r="AY149" i="34"/>
  <c r="AY150" i="34"/>
  <c r="AY151" i="34"/>
  <c r="AY152" i="34"/>
  <c r="AY153" i="34"/>
  <c r="AY154" i="34"/>
  <c r="AY155" i="34"/>
  <c r="AY156" i="34"/>
  <c r="AY157" i="34"/>
  <c r="AY158" i="34"/>
  <c r="AY159" i="34"/>
  <c r="AY160" i="34"/>
  <c r="AY161" i="34"/>
  <c r="AY162" i="34"/>
  <c r="AY163" i="34"/>
  <c r="AY164" i="34"/>
  <c r="AY165" i="34"/>
  <c r="AY166" i="34"/>
  <c r="AY167" i="34"/>
  <c r="AY168" i="34"/>
  <c r="AY169" i="34"/>
  <c r="AY170" i="34"/>
  <c r="AY171" i="34"/>
  <c r="AY172" i="34"/>
  <c r="AY173" i="34"/>
  <c r="AY174" i="34"/>
  <c r="AY175" i="34"/>
  <c r="AY176" i="34"/>
  <c r="AY177" i="34"/>
  <c r="AY178" i="34"/>
  <c r="AY179" i="34"/>
  <c r="AY180" i="34"/>
  <c r="AY181" i="34"/>
  <c r="AY182" i="34"/>
  <c r="AY183" i="34"/>
  <c r="AY184" i="34"/>
  <c r="AY185" i="34"/>
  <c r="AY186" i="34"/>
  <c r="AY187" i="34"/>
  <c r="AY188" i="34"/>
  <c r="AY189" i="34"/>
  <c r="AY190" i="34"/>
  <c r="AY191" i="34"/>
  <c r="AY192" i="34"/>
  <c r="AY193" i="34"/>
  <c r="AY4" i="34"/>
  <c r="C2" i="34" l="1"/>
  <c r="D2" i="34" s="1"/>
  <c r="E2" i="34" s="1"/>
  <c r="F2" i="34" s="1"/>
  <c r="G2" i="34" s="1"/>
  <c r="H2" i="34" s="1"/>
  <c r="I2" i="34" s="1"/>
  <c r="J2" i="34" s="1"/>
  <c r="K2" i="34" s="1"/>
  <c r="L2" i="34" s="1"/>
  <c r="M2" i="34" s="1"/>
  <c r="N2" i="34" s="1"/>
  <c r="O2" i="34" s="1"/>
  <c r="P2" i="34" s="1"/>
  <c r="Q2" i="34" s="1"/>
  <c r="R2" i="34" s="1"/>
  <c r="S2" i="34" s="1"/>
  <c r="T2" i="34" s="1"/>
  <c r="U2" i="34" s="1"/>
  <c r="V2" i="34" s="1"/>
  <c r="W2" i="34" s="1"/>
  <c r="X2" i="34" s="1"/>
  <c r="Y2" i="34" s="1"/>
  <c r="Z2" i="34" s="1"/>
  <c r="AA2" i="34" s="1"/>
  <c r="AB2" i="34" s="1"/>
  <c r="AC2" i="34" s="1"/>
  <c r="AD2" i="34" s="1"/>
  <c r="AE2" i="34" s="1"/>
  <c r="AF2" i="34" s="1"/>
  <c r="AG2" i="34" s="1"/>
  <c r="AH2" i="34" s="1"/>
  <c r="AI2" i="34" s="1"/>
  <c r="AJ2" i="34" s="1"/>
  <c r="AK2" i="34" s="1"/>
  <c r="AL2" i="34" s="1"/>
  <c r="AM2" i="34" s="1"/>
  <c r="S4" i="4" l="1"/>
  <c r="T4" i="4"/>
  <c r="U4" i="4"/>
  <c r="V4" i="4"/>
  <c r="W4" i="4"/>
  <c r="S5" i="4"/>
  <c r="T5" i="4"/>
  <c r="U5" i="4"/>
  <c r="V5" i="4"/>
  <c r="W5" i="4"/>
  <c r="S6" i="4"/>
  <c r="T6" i="4"/>
  <c r="U6" i="4"/>
  <c r="V6" i="4"/>
  <c r="W6" i="4"/>
  <c r="S7" i="4"/>
  <c r="T7" i="4"/>
  <c r="U7" i="4"/>
  <c r="V7" i="4"/>
  <c r="W7" i="4"/>
  <c r="S8" i="4"/>
  <c r="T8" i="4"/>
  <c r="U8" i="4"/>
  <c r="V8" i="4"/>
  <c r="W8" i="4"/>
  <c r="S9" i="4"/>
  <c r="T9" i="4"/>
  <c r="U9" i="4"/>
  <c r="V9" i="4"/>
  <c r="W9" i="4"/>
  <c r="S10" i="4"/>
  <c r="T10" i="4"/>
  <c r="U10" i="4"/>
  <c r="V10" i="4"/>
  <c r="W10" i="4"/>
  <c r="S11" i="4"/>
  <c r="T11" i="4"/>
  <c r="U11" i="4"/>
  <c r="V11" i="4"/>
  <c r="W11" i="4"/>
  <c r="S12" i="4"/>
  <c r="T12" i="4"/>
  <c r="U12" i="4"/>
  <c r="V12" i="4"/>
  <c r="W12" i="4"/>
  <c r="S13" i="4"/>
  <c r="T13" i="4"/>
  <c r="U13" i="4"/>
  <c r="V13" i="4"/>
  <c r="W13" i="4"/>
  <c r="S14" i="4"/>
  <c r="T14" i="4"/>
  <c r="U14" i="4"/>
  <c r="V14" i="4"/>
  <c r="W14" i="4"/>
  <c r="S15" i="4"/>
  <c r="T15" i="4"/>
  <c r="U15" i="4"/>
  <c r="V15" i="4"/>
  <c r="W15" i="4"/>
  <c r="S16" i="4"/>
  <c r="T16" i="4"/>
  <c r="U16" i="4"/>
  <c r="V16" i="4"/>
  <c r="W16" i="4"/>
  <c r="S17" i="4"/>
  <c r="T17" i="4"/>
  <c r="U17" i="4"/>
  <c r="V17" i="4"/>
  <c r="W17" i="4"/>
  <c r="S18" i="4"/>
  <c r="T18" i="4"/>
  <c r="U18" i="4"/>
  <c r="V18" i="4"/>
  <c r="W18" i="4"/>
  <c r="S19" i="4"/>
  <c r="T19" i="4"/>
  <c r="U19" i="4"/>
  <c r="V19" i="4"/>
  <c r="W19" i="4"/>
  <c r="S20" i="4"/>
  <c r="T20" i="4"/>
  <c r="U20" i="4"/>
  <c r="V20" i="4"/>
  <c r="W20" i="4"/>
  <c r="S21" i="4"/>
  <c r="T21" i="4"/>
  <c r="U21" i="4"/>
  <c r="V21" i="4"/>
  <c r="W21" i="4"/>
  <c r="S22" i="4"/>
  <c r="T22" i="4"/>
  <c r="U22" i="4"/>
  <c r="V22" i="4"/>
  <c r="W22" i="4"/>
  <c r="S23" i="4"/>
  <c r="T23" i="4"/>
  <c r="U23" i="4"/>
  <c r="V23" i="4"/>
  <c r="W23" i="4"/>
  <c r="S24" i="4"/>
  <c r="T24" i="4"/>
  <c r="U24" i="4"/>
  <c r="V24" i="4"/>
  <c r="W24" i="4"/>
  <c r="S25" i="4"/>
  <c r="T25" i="4"/>
  <c r="U25" i="4"/>
  <c r="V25" i="4"/>
  <c r="W25" i="4"/>
  <c r="S26" i="4"/>
  <c r="T26" i="4"/>
  <c r="U26" i="4"/>
  <c r="V26" i="4"/>
  <c r="W26" i="4"/>
  <c r="S27" i="4"/>
  <c r="T27" i="4"/>
  <c r="U27" i="4"/>
  <c r="V27" i="4"/>
  <c r="W27" i="4"/>
  <c r="S28" i="4"/>
  <c r="T28" i="4"/>
  <c r="U28" i="4"/>
  <c r="V28" i="4"/>
  <c r="W28" i="4"/>
  <c r="S29" i="4"/>
  <c r="T29" i="4"/>
  <c r="U29" i="4"/>
  <c r="V29" i="4"/>
  <c r="W29" i="4"/>
  <c r="S30" i="4"/>
  <c r="T30" i="4"/>
  <c r="U30" i="4"/>
  <c r="V30" i="4"/>
  <c r="W30" i="4"/>
  <c r="S31" i="4"/>
  <c r="T31" i="4"/>
  <c r="U31" i="4"/>
  <c r="V31" i="4"/>
  <c r="W31" i="4"/>
  <c r="S32" i="4"/>
  <c r="T32" i="4"/>
  <c r="U32" i="4"/>
  <c r="V32" i="4"/>
  <c r="W32" i="4"/>
  <c r="S33" i="4"/>
  <c r="T33" i="4"/>
  <c r="U33" i="4"/>
  <c r="V33" i="4"/>
  <c r="W33" i="4"/>
  <c r="S34" i="4"/>
  <c r="T34" i="4"/>
  <c r="U34" i="4"/>
  <c r="V34" i="4"/>
  <c r="W34" i="4"/>
  <c r="S35" i="4"/>
  <c r="T35" i="4"/>
  <c r="U35" i="4"/>
  <c r="V35" i="4"/>
  <c r="W35" i="4"/>
  <c r="S36" i="4"/>
  <c r="T36" i="4"/>
  <c r="U36" i="4"/>
  <c r="V36" i="4"/>
  <c r="W36" i="4"/>
  <c r="S37" i="4"/>
  <c r="T37" i="4"/>
  <c r="U37" i="4"/>
  <c r="V37" i="4"/>
  <c r="W37" i="4"/>
  <c r="S38" i="4"/>
  <c r="T38" i="4"/>
  <c r="U38" i="4"/>
  <c r="V38" i="4"/>
  <c r="W38" i="4"/>
  <c r="S39" i="4"/>
  <c r="T39" i="4"/>
  <c r="U39" i="4"/>
  <c r="V39" i="4"/>
  <c r="W39" i="4"/>
  <c r="S40" i="4"/>
  <c r="T40" i="4"/>
  <c r="U40" i="4"/>
  <c r="V40" i="4"/>
  <c r="W40" i="4"/>
  <c r="S41" i="4"/>
  <c r="T41" i="4"/>
  <c r="U41" i="4"/>
  <c r="V41" i="4"/>
  <c r="W41" i="4"/>
  <c r="S42" i="4"/>
  <c r="T42" i="4"/>
  <c r="U42" i="4"/>
  <c r="V42" i="4"/>
  <c r="W42" i="4"/>
  <c r="S43" i="4"/>
  <c r="T43" i="4"/>
  <c r="U43" i="4"/>
  <c r="V43" i="4"/>
  <c r="W43" i="4"/>
  <c r="S44" i="4"/>
  <c r="T44" i="4"/>
  <c r="U44" i="4"/>
  <c r="V44" i="4"/>
  <c r="W44" i="4"/>
  <c r="S45" i="4"/>
  <c r="T45" i="4"/>
  <c r="U45" i="4"/>
  <c r="V45" i="4"/>
  <c r="W45" i="4"/>
  <c r="S46" i="4"/>
  <c r="T46" i="4"/>
  <c r="U46" i="4"/>
  <c r="V46" i="4"/>
  <c r="W46" i="4"/>
  <c r="S47" i="4"/>
  <c r="T47" i="4"/>
  <c r="U47" i="4"/>
  <c r="V47" i="4"/>
  <c r="W47" i="4"/>
  <c r="S48" i="4"/>
  <c r="T48" i="4"/>
  <c r="U48" i="4"/>
  <c r="V48" i="4"/>
  <c r="W48" i="4"/>
  <c r="S49" i="4"/>
  <c r="T49" i="4"/>
  <c r="U49" i="4"/>
  <c r="V49" i="4"/>
  <c r="W49" i="4"/>
  <c r="S50" i="4"/>
  <c r="T50" i="4"/>
  <c r="U50" i="4"/>
  <c r="V50" i="4"/>
  <c r="W50" i="4"/>
  <c r="S51" i="4"/>
  <c r="T51" i="4"/>
  <c r="U51" i="4"/>
  <c r="V51" i="4"/>
  <c r="W51" i="4"/>
  <c r="S52" i="4"/>
  <c r="T52" i="4"/>
  <c r="U52" i="4"/>
  <c r="V52" i="4"/>
  <c r="W52" i="4"/>
  <c r="S53" i="4"/>
  <c r="T53" i="4"/>
  <c r="U53" i="4"/>
  <c r="V53" i="4"/>
  <c r="W53" i="4"/>
  <c r="S54" i="4"/>
  <c r="T54" i="4"/>
  <c r="U54" i="4"/>
  <c r="V54" i="4"/>
  <c r="W54" i="4"/>
  <c r="S55" i="4"/>
  <c r="T55" i="4"/>
  <c r="U55" i="4"/>
  <c r="V55" i="4"/>
  <c r="W55" i="4"/>
  <c r="S56" i="4"/>
  <c r="T56" i="4"/>
  <c r="U56" i="4"/>
  <c r="V56" i="4"/>
  <c r="W56" i="4"/>
  <c r="S57" i="4"/>
  <c r="T57" i="4"/>
  <c r="U57" i="4"/>
  <c r="V57" i="4"/>
  <c r="W57" i="4"/>
  <c r="S58" i="4"/>
  <c r="T58" i="4"/>
  <c r="U58" i="4"/>
  <c r="V58" i="4"/>
  <c r="W58" i="4"/>
  <c r="S59" i="4"/>
  <c r="T59" i="4"/>
  <c r="U59" i="4"/>
  <c r="V59" i="4"/>
  <c r="W59" i="4"/>
  <c r="S60" i="4"/>
  <c r="T60" i="4"/>
  <c r="U60" i="4"/>
  <c r="V60" i="4"/>
  <c r="W60" i="4"/>
  <c r="S61" i="4"/>
  <c r="T61" i="4"/>
  <c r="U61" i="4"/>
  <c r="V61" i="4"/>
  <c r="W61" i="4"/>
  <c r="S62" i="4"/>
  <c r="T62" i="4"/>
  <c r="U62" i="4"/>
  <c r="V62" i="4"/>
  <c r="W62" i="4"/>
  <c r="S63" i="4"/>
  <c r="T63" i="4"/>
  <c r="U63" i="4"/>
  <c r="V63" i="4"/>
  <c r="W63" i="4"/>
  <c r="S64" i="4"/>
  <c r="T64" i="4"/>
  <c r="U64" i="4"/>
  <c r="V64" i="4"/>
  <c r="W64" i="4"/>
  <c r="S65" i="4"/>
  <c r="T65" i="4"/>
  <c r="U65" i="4"/>
  <c r="V65" i="4"/>
  <c r="W65" i="4"/>
  <c r="S66" i="4"/>
  <c r="T66" i="4"/>
  <c r="U66" i="4"/>
  <c r="V66" i="4"/>
  <c r="W66" i="4"/>
  <c r="S67" i="4"/>
  <c r="T67" i="4"/>
  <c r="U67" i="4"/>
  <c r="V67" i="4"/>
  <c r="W67" i="4"/>
  <c r="S68" i="4"/>
  <c r="T68" i="4"/>
  <c r="U68" i="4"/>
  <c r="V68" i="4"/>
  <c r="W68" i="4"/>
  <c r="S69" i="4"/>
  <c r="T69" i="4"/>
  <c r="U69" i="4"/>
  <c r="V69" i="4"/>
  <c r="W69" i="4"/>
  <c r="S70" i="4"/>
  <c r="T70" i="4"/>
  <c r="U70" i="4"/>
  <c r="V70" i="4"/>
  <c r="W70" i="4"/>
  <c r="S71" i="4"/>
  <c r="T71" i="4"/>
  <c r="U71" i="4"/>
  <c r="V71" i="4"/>
  <c r="W71" i="4"/>
  <c r="S72" i="4"/>
  <c r="T72" i="4"/>
  <c r="U72" i="4"/>
  <c r="V72" i="4"/>
  <c r="W72" i="4"/>
  <c r="S73" i="4"/>
  <c r="T73" i="4"/>
  <c r="U73" i="4"/>
  <c r="V73" i="4"/>
  <c r="W73" i="4"/>
  <c r="S74" i="4"/>
  <c r="T74" i="4"/>
  <c r="U74" i="4"/>
  <c r="V74" i="4"/>
  <c r="W74" i="4"/>
  <c r="S75" i="4"/>
  <c r="T75" i="4"/>
  <c r="U75" i="4"/>
  <c r="V75" i="4"/>
  <c r="W75" i="4"/>
  <c r="S76" i="4"/>
  <c r="T76" i="4"/>
  <c r="U76" i="4"/>
  <c r="V76" i="4"/>
  <c r="W76" i="4"/>
  <c r="S77" i="4"/>
  <c r="T77" i="4"/>
  <c r="U77" i="4"/>
  <c r="V77" i="4"/>
  <c r="W77" i="4"/>
  <c r="S78" i="4"/>
  <c r="T78" i="4"/>
  <c r="U78" i="4"/>
  <c r="V78" i="4"/>
  <c r="W78" i="4"/>
  <c r="S79" i="4"/>
  <c r="T79" i="4"/>
  <c r="U79" i="4"/>
  <c r="V79" i="4"/>
  <c r="W79" i="4"/>
  <c r="S80" i="4"/>
  <c r="T80" i="4"/>
  <c r="U80" i="4"/>
  <c r="V80" i="4"/>
  <c r="W80" i="4"/>
  <c r="S81" i="4"/>
  <c r="T81" i="4"/>
  <c r="U81" i="4"/>
  <c r="V81" i="4"/>
  <c r="W81" i="4"/>
  <c r="S82" i="4"/>
  <c r="T82" i="4"/>
  <c r="U82" i="4"/>
  <c r="V82" i="4"/>
  <c r="W82" i="4"/>
  <c r="S83" i="4"/>
  <c r="T83" i="4"/>
  <c r="U83" i="4"/>
  <c r="V83" i="4"/>
  <c r="W83" i="4"/>
  <c r="S84" i="4"/>
  <c r="T84" i="4"/>
  <c r="U84" i="4"/>
  <c r="V84" i="4"/>
  <c r="W84" i="4"/>
  <c r="S85" i="4"/>
  <c r="T85" i="4"/>
  <c r="U85" i="4"/>
  <c r="V85" i="4"/>
  <c r="W85" i="4"/>
  <c r="S86" i="4"/>
  <c r="T86" i="4"/>
  <c r="U86" i="4"/>
  <c r="V86" i="4"/>
  <c r="W86" i="4"/>
  <c r="S87" i="4"/>
  <c r="T87" i="4"/>
  <c r="U87" i="4"/>
  <c r="V87" i="4"/>
  <c r="W87" i="4"/>
  <c r="S88" i="4"/>
  <c r="T88" i="4"/>
  <c r="U88" i="4"/>
  <c r="V88" i="4"/>
  <c r="W88" i="4"/>
  <c r="S89" i="4"/>
  <c r="T89" i="4"/>
  <c r="U89" i="4"/>
  <c r="V89" i="4"/>
  <c r="W89" i="4"/>
  <c r="S90" i="4"/>
  <c r="T90" i="4"/>
  <c r="U90" i="4"/>
  <c r="V90" i="4"/>
  <c r="W90" i="4"/>
  <c r="S91" i="4"/>
  <c r="T91" i="4"/>
  <c r="U91" i="4"/>
  <c r="V91" i="4"/>
  <c r="W91" i="4"/>
  <c r="S92" i="4"/>
  <c r="T92" i="4"/>
  <c r="U92" i="4"/>
  <c r="V92" i="4"/>
  <c r="W92" i="4"/>
  <c r="S93" i="4"/>
  <c r="T93" i="4"/>
  <c r="U93" i="4"/>
  <c r="V93" i="4"/>
  <c r="W93" i="4"/>
  <c r="S94" i="4"/>
  <c r="T94" i="4"/>
  <c r="U94" i="4"/>
  <c r="V94" i="4"/>
  <c r="W94" i="4"/>
  <c r="S95" i="4"/>
  <c r="T95" i="4"/>
  <c r="U95" i="4"/>
  <c r="V95" i="4"/>
  <c r="W95" i="4"/>
  <c r="S96" i="4"/>
  <c r="T96" i="4"/>
  <c r="U96" i="4"/>
  <c r="V96" i="4"/>
  <c r="W96" i="4"/>
  <c r="S97" i="4"/>
  <c r="T97" i="4"/>
  <c r="U97" i="4"/>
  <c r="V97" i="4"/>
  <c r="W97" i="4"/>
  <c r="S98" i="4"/>
  <c r="T98" i="4"/>
  <c r="U98" i="4"/>
  <c r="V98" i="4"/>
  <c r="W98" i="4"/>
  <c r="S99" i="4"/>
  <c r="T99" i="4"/>
  <c r="U99" i="4"/>
  <c r="V99" i="4"/>
  <c r="W99" i="4"/>
  <c r="S100" i="4"/>
  <c r="T100" i="4"/>
  <c r="U100" i="4"/>
  <c r="V100" i="4"/>
  <c r="W100" i="4"/>
  <c r="S101" i="4"/>
  <c r="T101" i="4"/>
  <c r="U101" i="4"/>
  <c r="V101" i="4"/>
  <c r="W101" i="4"/>
  <c r="S102" i="4"/>
  <c r="T102" i="4"/>
  <c r="U102" i="4"/>
  <c r="V102" i="4"/>
  <c r="W102" i="4"/>
  <c r="S103" i="4"/>
  <c r="T103" i="4"/>
  <c r="U103" i="4"/>
  <c r="V103" i="4"/>
  <c r="W103" i="4"/>
  <c r="S104" i="4"/>
  <c r="T104" i="4"/>
  <c r="U104" i="4"/>
  <c r="V104" i="4"/>
  <c r="W104" i="4"/>
  <c r="S105" i="4"/>
  <c r="T105" i="4"/>
  <c r="U105" i="4"/>
  <c r="V105" i="4"/>
  <c r="W105" i="4"/>
  <c r="S106" i="4"/>
  <c r="T106" i="4"/>
  <c r="U106" i="4"/>
  <c r="V106" i="4"/>
  <c r="W106" i="4"/>
  <c r="S107" i="4"/>
  <c r="T107" i="4"/>
  <c r="U107" i="4"/>
  <c r="V107" i="4"/>
  <c r="W107" i="4"/>
  <c r="S108" i="4"/>
  <c r="T108" i="4"/>
  <c r="U108" i="4"/>
  <c r="V108" i="4"/>
  <c r="W108" i="4"/>
  <c r="S109" i="4"/>
  <c r="T109" i="4"/>
  <c r="U109" i="4"/>
  <c r="V109" i="4"/>
  <c r="W109" i="4"/>
  <c r="S110" i="4"/>
  <c r="T110" i="4"/>
  <c r="U110" i="4"/>
  <c r="V110" i="4"/>
  <c r="W110" i="4"/>
  <c r="S111" i="4"/>
  <c r="T111" i="4"/>
  <c r="U111" i="4"/>
  <c r="V111" i="4"/>
  <c r="W111" i="4"/>
  <c r="S112" i="4"/>
  <c r="T112" i="4"/>
  <c r="U112" i="4"/>
  <c r="V112" i="4"/>
  <c r="W112" i="4"/>
  <c r="S113" i="4"/>
  <c r="T113" i="4"/>
  <c r="U113" i="4"/>
  <c r="V113" i="4"/>
  <c r="W113" i="4"/>
  <c r="S114" i="4"/>
  <c r="T114" i="4"/>
  <c r="U114" i="4"/>
  <c r="V114" i="4"/>
  <c r="W114" i="4"/>
  <c r="S115" i="4"/>
  <c r="T115" i="4"/>
  <c r="U115" i="4"/>
  <c r="V115" i="4"/>
  <c r="W115" i="4"/>
  <c r="S116" i="4"/>
  <c r="T116" i="4"/>
  <c r="U116" i="4"/>
  <c r="V116" i="4"/>
  <c r="W116" i="4"/>
  <c r="S117" i="4"/>
  <c r="T117" i="4"/>
  <c r="U117" i="4"/>
  <c r="V117" i="4"/>
  <c r="W117" i="4"/>
  <c r="S118" i="4"/>
  <c r="T118" i="4"/>
  <c r="U118" i="4"/>
  <c r="V118" i="4"/>
  <c r="W118" i="4"/>
  <c r="S119" i="4"/>
  <c r="T119" i="4"/>
  <c r="U119" i="4"/>
  <c r="V119" i="4"/>
  <c r="W119" i="4"/>
  <c r="S120" i="4"/>
  <c r="T120" i="4"/>
  <c r="U120" i="4"/>
  <c r="V120" i="4"/>
  <c r="W120" i="4"/>
  <c r="S121" i="4"/>
  <c r="T121" i="4"/>
  <c r="U121" i="4"/>
  <c r="V121" i="4"/>
  <c r="W121" i="4"/>
  <c r="S122" i="4"/>
  <c r="T122" i="4"/>
  <c r="U122" i="4"/>
  <c r="V122" i="4"/>
  <c r="W122" i="4"/>
  <c r="S123" i="4"/>
  <c r="T123" i="4"/>
  <c r="U123" i="4"/>
  <c r="V123" i="4"/>
  <c r="W123" i="4"/>
  <c r="S124" i="4"/>
  <c r="T124" i="4"/>
  <c r="U124" i="4"/>
  <c r="V124" i="4"/>
  <c r="W124" i="4"/>
  <c r="S125" i="4"/>
  <c r="T125" i="4"/>
  <c r="U125" i="4"/>
  <c r="V125" i="4"/>
  <c r="W125" i="4"/>
  <c r="S126" i="4"/>
  <c r="T126" i="4"/>
  <c r="U126" i="4"/>
  <c r="V126" i="4"/>
  <c r="W126" i="4"/>
  <c r="S127" i="4"/>
  <c r="T127" i="4"/>
  <c r="U127" i="4"/>
  <c r="V127" i="4"/>
  <c r="W127" i="4"/>
  <c r="S128" i="4"/>
  <c r="T128" i="4"/>
  <c r="U128" i="4"/>
  <c r="V128" i="4"/>
  <c r="W128" i="4"/>
  <c r="S129" i="4"/>
  <c r="T129" i="4"/>
  <c r="U129" i="4"/>
  <c r="V129" i="4"/>
  <c r="W129" i="4"/>
  <c r="S130" i="4"/>
  <c r="T130" i="4"/>
  <c r="U130" i="4"/>
  <c r="V130" i="4"/>
  <c r="W130" i="4"/>
  <c r="S131" i="4"/>
  <c r="T131" i="4"/>
  <c r="U131" i="4"/>
  <c r="V131" i="4"/>
  <c r="W131" i="4"/>
  <c r="S132" i="4"/>
  <c r="T132" i="4"/>
  <c r="U132" i="4"/>
  <c r="V132" i="4"/>
  <c r="W132" i="4"/>
  <c r="S133" i="4"/>
  <c r="T133" i="4"/>
  <c r="U133" i="4"/>
  <c r="V133" i="4"/>
  <c r="W133" i="4"/>
  <c r="S134" i="4"/>
  <c r="T134" i="4"/>
  <c r="U134" i="4"/>
  <c r="V134" i="4"/>
  <c r="W134" i="4"/>
  <c r="S135" i="4"/>
  <c r="T135" i="4"/>
  <c r="U135" i="4"/>
  <c r="V135" i="4"/>
  <c r="W135" i="4"/>
  <c r="S136" i="4"/>
  <c r="T136" i="4"/>
  <c r="U136" i="4"/>
  <c r="V136" i="4"/>
  <c r="W136" i="4"/>
  <c r="S137" i="4"/>
  <c r="T137" i="4"/>
  <c r="U137" i="4"/>
  <c r="V137" i="4"/>
  <c r="W137" i="4"/>
  <c r="S138" i="4"/>
  <c r="T138" i="4"/>
  <c r="U138" i="4"/>
  <c r="V138" i="4"/>
  <c r="W138" i="4"/>
  <c r="S139" i="4"/>
  <c r="T139" i="4"/>
  <c r="U139" i="4"/>
  <c r="V139" i="4"/>
  <c r="W139" i="4"/>
  <c r="S140" i="4"/>
  <c r="T140" i="4"/>
  <c r="U140" i="4"/>
  <c r="V140" i="4"/>
  <c r="W140" i="4"/>
  <c r="S141" i="4"/>
  <c r="T141" i="4"/>
  <c r="U141" i="4"/>
  <c r="V141" i="4"/>
  <c r="W141" i="4"/>
  <c r="S142" i="4"/>
  <c r="T142" i="4"/>
  <c r="U142" i="4"/>
  <c r="V142" i="4"/>
  <c r="W142" i="4"/>
  <c r="S143" i="4"/>
  <c r="T143" i="4"/>
  <c r="U143" i="4"/>
  <c r="V143" i="4"/>
  <c r="W143" i="4"/>
  <c r="S144" i="4"/>
  <c r="T144" i="4"/>
  <c r="U144" i="4"/>
  <c r="V144" i="4"/>
  <c r="W144" i="4"/>
  <c r="S145" i="4"/>
  <c r="T145" i="4"/>
  <c r="U145" i="4"/>
  <c r="V145" i="4"/>
  <c r="W145" i="4"/>
  <c r="S146" i="4"/>
  <c r="T146" i="4"/>
  <c r="U146" i="4"/>
  <c r="V146" i="4"/>
  <c r="W146" i="4"/>
  <c r="S147" i="4"/>
  <c r="T147" i="4"/>
  <c r="U147" i="4"/>
  <c r="V147" i="4"/>
  <c r="W147" i="4"/>
  <c r="S148" i="4"/>
  <c r="T148" i="4"/>
  <c r="U148" i="4"/>
  <c r="V148" i="4"/>
  <c r="W148" i="4"/>
  <c r="S149" i="4"/>
  <c r="T149" i="4"/>
  <c r="U149" i="4"/>
  <c r="V149" i="4"/>
  <c r="W149" i="4"/>
  <c r="S150" i="4"/>
  <c r="T150" i="4"/>
  <c r="U150" i="4"/>
  <c r="V150" i="4"/>
  <c r="W150" i="4"/>
  <c r="S151" i="4"/>
  <c r="T151" i="4"/>
  <c r="U151" i="4"/>
  <c r="V151" i="4"/>
  <c r="W151" i="4"/>
  <c r="T3" i="4"/>
  <c r="U3" i="4"/>
  <c r="V3" i="4"/>
  <c r="W3" i="4"/>
  <c r="S3" i="4"/>
  <c r="A5" i="34" l="1"/>
  <c r="A6" i="34" s="1"/>
  <c r="A7" i="34" s="1"/>
  <c r="A8" i="34" s="1"/>
  <c r="A9" i="34" s="1"/>
  <c r="A10" i="34" s="1"/>
  <c r="A11" i="34" s="1"/>
  <c r="A12" i="34" s="1"/>
  <c r="A13" i="34" s="1"/>
  <c r="A14" i="34" s="1"/>
  <c r="A15" i="34" s="1"/>
  <c r="A16" i="34" s="1"/>
  <c r="A17" i="34" s="1"/>
  <c r="A18" i="34" s="1"/>
  <c r="A19" i="34" s="1"/>
  <c r="A20" i="34" s="1"/>
  <c r="A21" i="34" s="1"/>
  <c r="A22" i="34" s="1"/>
  <c r="A23" i="34" s="1"/>
  <c r="A24" i="34" s="1"/>
  <c r="A25" i="34" s="1"/>
  <c r="A26" i="34" s="1"/>
  <c r="A27" i="34" s="1"/>
  <c r="A28" i="34" s="1"/>
  <c r="A29" i="34" s="1"/>
  <c r="A30" i="34" s="1"/>
  <c r="A31" i="34" s="1"/>
  <c r="A32" i="34" s="1"/>
  <c r="A33" i="34" s="1"/>
  <c r="A34" i="34" s="1"/>
  <c r="A35" i="34" s="1"/>
  <c r="A36" i="34" s="1"/>
  <c r="A37" i="34" s="1"/>
  <c r="A38" i="34" s="1"/>
  <c r="A39" i="34" s="1"/>
  <c r="A40" i="34" s="1"/>
  <c r="A41" i="34" s="1"/>
  <c r="A42" i="34" s="1"/>
  <c r="A43" i="34" s="1"/>
  <c r="A44" i="34" s="1"/>
  <c r="A45" i="34" s="1"/>
  <c r="A46" i="34" s="1"/>
  <c r="A47" i="34" s="1"/>
  <c r="A48" i="34" s="1"/>
  <c r="A49" i="34" s="1"/>
  <c r="A50" i="34" s="1"/>
  <c r="A51" i="34" s="1"/>
  <c r="A52" i="34" s="1"/>
  <c r="A53" i="34" s="1"/>
  <c r="A54" i="34" s="1"/>
  <c r="A55" i="34" s="1"/>
  <c r="A56" i="34" s="1"/>
  <c r="A57" i="34" s="1"/>
  <c r="A58" i="34" s="1"/>
  <c r="A59" i="34" s="1"/>
  <c r="A60" i="34" s="1"/>
  <c r="A61" i="34" s="1"/>
  <c r="A62" i="34" s="1"/>
  <c r="A63" i="34" s="1"/>
  <c r="A64" i="34" s="1"/>
  <c r="A65" i="34" s="1"/>
  <c r="A66" i="34" s="1"/>
  <c r="A67" i="34" s="1"/>
  <c r="A68" i="34" s="1"/>
  <c r="A69" i="34" s="1"/>
  <c r="A70" i="34" s="1"/>
  <c r="A71" i="34" s="1"/>
  <c r="A72" i="34" s="1"/>
  <c r="A73" i="34" s="1"/>
  <c r="A74" i="34" s="1"/>
  <c r="A75" i="34" s="1"/>
  <c r="A76" i="34" s="1"/>
  <c r="A77" i="34" s="1"/>
  <c r="A78" i="34" s="1"/>
  <c r="A79" i="34" s="1"/>
  <c r="A80" i="34" s="1"/>
  <c r="A81" i="34" s="1"/>
  <c r="A82" i="34" s="1"/>
  <c r="A83" i="34" s="1"/>
  <c r="A84" i="34" s="1"/>
  <c r="A85" i="34" s="1"/>
  <c r="A86" i="34" s="1"/>
  <c r="A87" i="34" s="1"/>
  <c r="A88" i="34" s="1"/>
  <c r="A89" i="34" s="1"/>
  <c r="A90" i="34" s="1"/>
  <c r="A91" i="34" s="1"/>
  <c r="A92" i="34" s="1"/>
  <c r="A93" i="34" s="1"/>
  <c r="A94" i="34" s="1"/>
  <c r="A95" i="34" s="1"/>
  <c r="A96" i="34" s="1"/>
  <c r="A97" i="34" s="1"/>
  <c r="A98" i="34" s="1"/>
  <c r="A99" i="34" s="1"/>
  <c r="A100" i="34" s="1"/>
  <c r="A101" i="34" s="1"/>
  <c r="A102" i="34" s="1"/>
  <c r="A103" i="34" s="1"/>
  <c r="A104" i="34" s="1"/>
  <c r="A105" i="34" s="1"/>
  <c r="A106" i="34" s="1"/>
  <c r="A107" i="34" s="1"/>
  <c r="A108" i="34" s="1"/>
  <c r="A109" i="34" s="1"/>
  <c r="A110" i="34" s="1"/>
  <c r="A111" i="34" s="1"/>
  <c r="A112" i="34" s="1"/>
  <c r="A113" i="34" s="1"/>
  <c r="A114" i="34" s="1"/>
  <c r="A115" i="34" s="1"/>
  <c r="A116" i="34" s="1"/>
  <c r="A117" i="34" s="1"/>
  <c r="A118" i="34" s="1"/>
  <c r="A119" i="34" s="1"/>
  <c r="A120" i="34" s="1"/>
  <c r="A121" i="34" s="1"/>
  <c r="A122" i="34" s="1"/>
  <c r="A123" i="34" s="1"/>
  <c r="A124" i="34" s="1"/>
  <c r="A125" i="34" s="1"/>
  <c r="A126" i="34" s="1"/>
  <c r="A127" i="34" s="1"/>
  <c r="A128" i="34" s="1"/>
  <c r="A129" i="34" s="1"/>
  <c r="A130" i="34" s="1"/>
  <c r="A131" i="34" s="1"/>
  <c r="A132" i="34" s="1"/>
  <c r="A133" i="34" s="1"/>
  <c r="A134" i="34" s="1"/>
  <c r="A135" i="34" s="1"/>
  <c r="A136" i="34" s="1"/>
  <c r="A137" i="34" s="1"/>
  <c r="A138" i="34" s="1"/>
  <c r="A139" i="34" s="1"/>
  <c r="A140" i="34" s="1"/>
  <c r="A141" i="34" s="1"/>
  <c r="A142" i="34" s="1"/>
  <c r="A143" i="34" s="1"/>
  <c r="A144" i="34" s="1"/>
  <c r="A145" i="34" s="1"/>
  <c r="A146" i="34" s="1"/>
  <c r="A147" i="34" s="1"/>
  <c r="A148" i="34" s="1"/>
  <c r="A149" i="34" s="1"/>
  <c r="A150" i="34" s="1"/>
  <c r="A151" i="34" s="1"/>
  <c r="A152" i="34" s="1"/>
  <c r="A153" i="34" s="1"/>
  <c r="A154" i="34" s="1"/>
  <c r="A155" i="34" s="1"/>
  <c r="A156" i="34" s="1"/>
  <c r="A157" i="34" s="1"/>
  <c r="A158" i="34" s="1"/>
  <c r="A159" i="34" s="1"/>
  <c r="A160" i="34" s="1"/>
  <c r="A161" i="34" s="1"/>
  <c r="A162" i="34" s="1"/>
  <c r="A163" i="34" s="1"/>
  <c r="A164" i="34" s="1"/>
  <c r="A165" i="34" s="1"/>
  <c r="A166" i="34" s="1"/>
  <c r="A167" i="34" s="1"/>
  <c r="A168" i="34" s="1"/>
  <c r="A169" i="34" s="1"/>
  <c r="A170" i="34" s="1"/>
  <c r="A171" i="34" s="1"/>
  <c r="A172" i="34" s="1"/>
  <c r="A173" i="34" s="1"/>
  <c r="A174" i="34" s="1"/>
  <c r="A175" i="34" s="1"/>
  <c r="A176" i="34" s="1"/>
  <c r="A177" i="34" s="1"/>
  <c r="A178" i="34" s="1"/>
  <c r="A179" i="34" s="1"/>
  <c r="A180" i="34" s="1"/>
  <c r="A181" i="34" s="1"/>
  <c r="A182" i="34" s="1"/>
  <c r="A183" i="34" s="1"/>
  <c r="A184" i="34" s="1"/>
  <c r="A185" i="34" s="1"/>
  <c r="A186" i="34" s="1"/>
  <c r="A187" i="34" s="1"/>
  <c r="A188" i="34" s="1"/>
  <c r="A189" i="34" s="1"/>
  <c r="A190" i="34" s="1"/>
  <c r="A191" i="34" s="1"/>
  <c r="A192" i="34" s="1"/>
  <c r="A193" i="3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Junhe Yang</author>
  </authors>
  <commentList>
    <comment ref="A68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Junhe Yang:</t>
        </r>
        <r>
          <rPr>
            <sz val="9"/>
            <color indexed="81"/>
            <rFont val="Tahoma"/>
            <family val="2"/>
          </rPr>
          <t xml:space="preserve">
no country info available</t>
        </r>
      </text>
    </comment>
  </commentList>
</comments>
</file>

<file path=xl/sharedStrings.xml><?xml version="1.0" encoding="utf-8"?>
<sst xmlns="http://schemas.openxmlformats.org/spreadsheetml/2006/main" count="1417" uniqueCount="499">
  <si>
    <t>Time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</si>
  <si>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</si>
  <si>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</si>
  <si>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</si>
  <si>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</si>
  <si>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</si>
  <si>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</si>
  <si>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</si>
  <si>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</si>
  <si>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</si>
  <si>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</si>
  <si>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</si>
  <si>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</si>
  <si>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</si>
  <si>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</si>
  <si>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</si>
  <si>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</si>
  <si>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</si>
  <si>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</si>
  <si>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</si>
  <si>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</si>
  <si>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</si>
  <si>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</si>
  <si>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</si>
  <si>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</si>
  <si>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</si>
  <si>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</si>
  <si>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</si>
  <si>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</si>
  <si>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</si>
  <si>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</si>
  <si>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</si>
  <si>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</si>
  <si>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</si>
  <si>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</si>
  <si>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</si>
  <si>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</si>
  <si>
    <t>Code</t>
  </si>
  <si>
    <t>Series</t>
  </si>
  <si>
    <t>SCALE</t>
  </si>
  <si>
    <t>AFG</t>
  </si>
  <si>
    <t>SC.SVY.HLTH.ZS</t>
  </si>
  <si>
    <t>AGO</t>
  </si>
  <si>
    <t>ALB</t>
  </si>
  <si>
    <t>ARG</t>
  </si>
  <si>
    <t>ARM</t>
  </si>
  <si>
    <t>ATG</t>
  </si>
  <si>
    <t>AZE</t>
  </si>
  <si>
    <t>BDI</t>
  </si>
  <si>
    <t>BEN</t>
  </si>
  <si>
    <t>BFA</t>
  </si>
  <si>
    <t>BGD</t>
  </si>
  <si>
    <t>BGR</t>
  </si>
  <si>
    <t>BIH</t>
  </si>
  <si>
    <t>BLR</t>
  </si>
  <si>
    <t>BLZ</t>
  </si>
  <si>
    <t>BOL</t>
  </si>
  <si>
    <t>BRA</t>
  </si>
  <si>
    <t>BTN</t>
  </si>
  <si>
    <t>BWA</t>
  </si>
  <si>
    <t>CAF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</si>
  <si>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</si>
  <si>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</si>
  <si>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</si>
  <si>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</si>
  <si>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</si>
  <si>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</si>
  <si>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</si>
  <si>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</si>
  <si>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</si>
  <si>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</si>
  <si>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DJI</t>
  </si>
  <si>
    <t>DMA</t>
  </si>
  <si>
    <t>DOM</t>
  </si>
  <si>
    <t>DZA</t>
  </si>
  <si>
    <t>ECU</t>
  </si>
  <si>
    <t>EGY</t>
  </si>
  <si>
    <t>ERI</t>
  </si>
  <si>
    <t>ETH</t>
  </si>
  <si>
    <t>FJI</t>
  </si>
  <si>
    <t>FSM</t>
  </si>
  <si>
    <t>GAB</t>
  </si>
  <si>
    <t>GEO</t>
  </si>
  <si>
    <t>GHA</t>
  </si>
  <si>
    <t>GIN</t>
  </si>
  <si>
    <t>GMB</t>
  </si>
  <si>
    <t>GNB</t>
  </si>
  <si>
    <t>GNQ</t>
  </si>
  <si>
    <t>GRD</t>
  </si>
  <si>
    <t>GTM</t>
  </si>
  <si>
    <t>GUY</t>
  </si>
  <si>
    <t>HND</t>
  </si>
  <si>
    <t>HRV</t>
  </si>
  <si>
    <t>HTI</t>
  </si>
  <si>
    <t>IDN</t>
  </si>
  <si>
    <t>IND</t>
  </si>
  <si>
    <t>IRN</t>
  </si>
  <si>
    <t>IRQ</t>
  </si>
  <si>
    <t>JAM</t>
  </si>
  <si>
    <t>JOR</t>
  </si>
  <si>
    <t>KAZ</t>
  </si>
  <si>
    <t>KEN</t>
  </si>
  <si>
    <t>KGZ</t>
  </si>
  <si>
    <t>KHM</t>
  </si>
  <si>
    <t>KIR</t>
  </si>
  <si>
    <t>KNA</t>
  </si>
  <si>
    <t>LAO</t>
  </si>
  <si>
    <t>LBN</t>
  </si>
  <si>
    <t>LBR</t>
  </si>
  <si>
    <t>LBY</t>
  </si>
  <si>
    <t>LCA</t>
  </si>
  <si>
    <t>LKA</t>
  </si>
  <si>
    <t>LSO</t>
  </si>
  <si>
    <t>MAR</t>
  </si>
  <si>
    <t>MDA</t>
  </si>
  <si>
    <t>MDG</t>
  </si>
  <si>
    <t>MDV</t>
  </si>
  <si>
    <t>MEX</t>
  </si>
  <si>
    <t>MHL</t>
  </si>
  <si>
    <t>MKD</t>
  </si>
  <si>
    <t>MLI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</si>
  <si>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</si>
  <si>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</si>
  <si>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</si>
  <si>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</si>
  <si>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</si>
  <si>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</si>
  <si>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</si>
  <si>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</si>
  <si>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</si>
  <si>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</si>
  <si>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</si>
  <si>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</si>
  <si>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NPL</t>
  </si>
  <si>
    <t>NRU</t>
  </si>
  <si>
    <t>PAK</t>
  </si>
  <si>
    <t>PAN</t>
  </si>
  <si>
    <t>PER</t>
  </si>
  <si>
    <t>PHL</t>
  </si>
  <si>
    <t>PLW</t>
  </si>
  <si>
    <t>PNG</t>
  </si>
  <si>
    <t>POL</t>
  </si>
  <si>
    <t>PRY</t>
  </si>
  <si>
    <t>PSE</t>
  </si>
  <si>
    <t>ROU</t>
  </si>
  <si>
    <t>RUS</t>
  </si>
  <si>
    <t>RWA</t>
  </si>
  <si>
    <t>SDN</t>
  </si>
  <si>
    <t>SEN</t>
  </si>
  <si>
    <t>SLB</t>
  </si>
  <si>
    <t>SLE</t>
  </si>
  <si>
    <t>SLV</t>
  </si>
  <si>
    <t>SOM</t>
  </si>
  <si>
    <t>SRB</t>
  </si>
  <si>
    <t>SSD</t>
  </si>
  <si>
    <t>STP</t>
  </si>
  <si>
    <t>SUR</t>
  </si>
  <si>
    <t>SWZ</t>
  </si>
  <si>
    <t>SYC</t>
  </si>
  <si>
    <t>SYR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</si>
  <si>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</si>
  <si>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</si>
  <si>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</si>
  <si>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</si>
  <si>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</si>
  <si>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</si>
  <si>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</si>
  <si>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</si>
  <si>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</si>
  <si>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</si>
  <si>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</si>
  <si>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</si>
  <si>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</si>
  <si>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</si>
  <si>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</si>
  <si>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UZB</t>
  </si>
  <si>
    <t>VCT</t>
  </si>
  <si>
    <t>VEN</t>
  </si>
  <si>
    <t>VNM</t>
  </si>
  <si>
    <t>VUT</t>
  </si>
  <si>
    <t>WSM</t>
  </si>
  <si>
    <t>XKX</t>
  </si>
  <si>
    <t>YEM</t>
  </si>
  <si>
    <t>ZAF</t>
  </si>
  <si>
    <t>ZMB</t>
  </si>
  <si>
    <t>ZWE</t>
  </si>
  <si>
    <t>BHR</t>
  </si>
  <si>
    <t>BRB</t>
  </si>
  <si>
    <t>CZE</t>
  </si>
  <si>
    <t>GRC</t>
  </si>
  <si>
    <t>HUN</t>
  </si>
  <si>
    <t>LVA</t>
  </si>
  <si>
    <t>LTU</t>
  </si>
  <si>
    <t>OMN</t>
  </si>
  <si>
    <t>SAU</t>
  </si>
  <si>
    <t>SVK</t>
  </si>
  <si>
    <t>AND</t>
  </si>
  <si>
    <t>ARE</t>
  </si>
  <si>
    <t>AUS</t>
  </si>
  <si>
    <t>AUT</t>
  </si>
  <si>
    <t>BEL</t>
  </si>
  <si>
    <t>BHS</t>
  </si>
  <si>
    <t>BRN</t>
  </si>
  <si>
    <t>CAN</t>
  </si>
  <si>
    <t>CHE</t>
  </si>
  <si>
    <t>CYP</t>
  </si>
  <si>
    <t>DEU</t>
  </si>
  <si>
    <t>DNK</t>
  </si>
  <si>
    <t>ESP</t>
  </si>
  <si>
    <t>EST</t>
  </si>
  <si>
    <t>FIN</t>
  </si>
  <si>
    <t>FRA</t>
  </si>
  <si>
    <t>GBR</t>
  </si>
  <si>
    <t>IRL</t>
  </si>
  <si>
    <t>ISL</t>
  </si>
  <si>
    <t>ISR</t>
  </si>
  <si>
    <t>ITA</t>
  </si>
  <si>
    <t>JPN</t>
  </si>
  <si>
    <t>KOR</t>
  </si>
  <si>
    <t>KWT</t>
  </si>
  <si>
    <t>LUX</t>
  </si>
  <si>
    <t>MLT</t>
  </si>
  <si>
    <t>NLD</t>
  </si>
  <si>
    <t>NOR</t>
  </si>
  <si>
    <t>NZL</t>
  </si>
  <si>
    <t>PRT</t>
  </si>
  <si>
    <t>QAT</t>
  </si>
  <si>
    <t>SGP</t>
  </si>
  <si>
    <t>SVN</t>
  </si>
  <si>
    <t>SWE</t>
  </si>
  <si>
    <t>USA</t>
  </si>
  <si>
    <t xml:space="preserve"> </t>
  </si>
  <si>
    <t>#</t>
  </si>
  <si>
    <t>Country</t>
  </si>
  <si>
    <t>country name</t>
  </si>
  <si>
    <t>Time Scale</t>
  </si>
  <si>
    <t>YR2021</t>
  </si>
  <si>
    <t>YR2022</t>
  </si>
  <si>
    <t>YR2023</t>
  </si>
  <si>
    <t>YR2024</t>
  </si>
  <si>
    <t>Source</t>
  </si>
  <si>
    <t>Year</t>
  </si>
  <si>
    <t>Afghanistan</t>
  </si>
  <si>
    <t>5.13.01.01.hlthsurv.b</t>
  </si>
  <si>
    <t>Angola</t>
  </si>
  <si>
    <t>Albania</t>
  </si>
  <si>
    <t>https://ec.europa.eu/eurostat/web/microdata/european-health-interview-survey</t>
  </si>
  <si>
    <t>Argentina</t>
  </si>
  <si>
    <t>Armenia</t>
  </si>
  <si>
    <t>Antigua and Barbuda</t>
  </si>
  <si>
    <t>Azerbaijan</t>
  </si>
  <si>
    <t>Burundi</t>
  </si>
  <si>
    <t>Benin</t>
  </si>
  <si>
    <t>Burkina Faso</t>
  </si>
  <si>
    <t>Bangladesh</t>
  </si>
  <si>
    <t>Bulgaria</t>
  </si>
  <si>
    <t>Bosnia and Herzegovina</t>
  </si>
  <si>
    <t>Belarus</t>
  </si>
  <si>
    <t>Belize</t>
  </si>
  <si>
    <t>Bolivia</t>
  </si>
  <si>
    <t>Brazil</t>
  </si>
  <si>
    <t>Bhutan</t>
  </si>
  <si>
    <t>Botswana</t>
  </si>
  <si>
    <t>Central African Republic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</si>
  <si>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</si>
  <si>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</si>
  <si>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</si>
  <si>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</si>
  <si>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</si>
  <si>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</si>
  <si>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</si>
  <si>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</si>
  <si>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</si>
  <si>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</si>
  <si>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Djibouti</t>
  </si>
  <si>
    <t>Dominica</t>
  </si>
  <si>
    <t>Dominican Republic</t>
  </si>
  <si>
    <t>Algeria</t>
  </si>
  <si>
    <t>Ecuador</t>
  </si>
  <si>
    <t>Egypt, Arab Rep.</t>
  </si>
  <si>
    <t>Eritrea</t>
  </si>
  <si>
    <t>Ethiopia</t>
  </si>
  <si>
    <t>Fiji</t>
  </si>
  <si>
    <t>Micronesia, Fed. Sts.</t>
  </si>
  <si>
    <t>Gabon</t>
  </si>
  <si>
    <t>Georgia</t>
  </si>
  <si>
    <t>Ghana</t>
  </si>
  <si>
    <t>Guinea</t>
  </si>
  <si>
    <t>Gambia, The</t>
  </si>
  <si>
    <t>Guinea-Bissau</t>
  </si>
  <si>
    <t>Equatorial Guinea</t>
  </si>
  <si>
    <t>Grenada</t>
  </si>
  <si>
    <t>Guatemala</t>
  </si>
  <si>
    <t>Guyana</t>
  </si>
  <si>
    <t>Honduras</t>
  </si>
  <si>
    <t>Croatia</t>
  </si>
  <si>
    <t>Haiti</t>
  </si>
  <si>
    <t>Indonesia</t>
  </si>
  <si>
    <t>India</t>
  </si>
  <si>
    <t>Iran, Islamic Rep.</t>
  </si>
  <si>
    <t>Iraq</t>
  </si>
  <si>
    <t>Jamaica</t>
  </si>
  <si>
    <t>Jordan</t>
  </si>
  <si>
    <t>Kazakhstan</t>
  </si>
  <si>
    <t>Kenya</t>
  </si>
  <si>
    <t>Kyrgyz Republic</t>
  </si>
  <si>
    <t>Cambodia</t>
  </si>
  <si>
    <t>Kiribati</t>
  </si>
  <si>
    <t>St. Kitts and Nevis</t>
  </si>
  <si>
    <t>Lao PDR</t>
  </si>
  <si>
    <t>Lebanon</t>
  </si>
  <si>
    <t>Liberia</t>
  </si>
  <si>
    <t>Libya</t>
  </si>
  <si>
    <t>St. Lucia</t>
  </si>
  <si>
    <t>Sri Lanka</t>
  </si>
  <si>
    <t>Lesotho</t>
  </si>
  <si>
    <t>Morocco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</si>
  <si>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</si>
  <si>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</si>
  <si>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</si>
  <si>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</si>
  <si>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</si>
  <si>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</si>
  <si>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</si>
  <si>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</si>
  <si>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</si>
  <si>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</si>
  <si>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</si>
  <si>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</si>
  <si>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</si>
  <si>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</si>
  <si>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</si>
  <si>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</si>
  <si>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</si>
  <si>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</si>
  <si>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</si>
  <si>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Nepal</t>
  </si>
  <si>
    <t>Nauru</t>
  </si>
  <si>
    <t>Pakistan</t>
  </si>
  <si>
    <t>Panama</t>
  </si>
  <si>
    <t>Peru</t>
  </si>
  <si>
    <t>Philippines</t>
  </si>
  <si>
    <t>Palau</t>
  </si>
  <si>
    <t>Papua New Guinea</t>
  </si>
  <si>
    <t>Poland</t>
  </si>
  <si>
    <t>Paraguay</t>
  </si>
  <si>
    <t>West Bank and Gaza</t>
  </si>
  <si>
    <t>Romania</t>
  </si>
  <si>
    <t>Russian Federation</t>
  </si>
  <si>
    <t>Rwanda</t>
  </si>
  <si>
    <t>Sudan</t>
  </si>
  <si>
    <t>Senegal</t>
  </si>
  <si>
    <t>Solomon Islands</t>
  </si>
  <si>
    <t>Sierra Leone</t>
  </si>
  <si>
    <t>El Salvador</t>
  </si>
  <si>
    <t>Somalia</t>
  </si>
  <si>
    <t>Serbia</t>
  </si>
  <si>
    <t>South Sudan</t>
  </si>
  <si>
    <t>Sao Tome and Principe</t>
  </si>
  <si>
    <t>Suriname</t>
  </si>
  <si>
    <t>Eswatini</t>
  </si>
  <si>
    <t>Seychelles</t>
  </si>
  <si>
    <t>Syrian Arab Republic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</si>
  <si>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</si>
  <si>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</si>
  <si>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</si>
  <si>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</si>
  <si>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</si>
  <si>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</si>
  <si>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</si>
  <si>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</si>
  <si>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</si>
  <si>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</si>
  <si>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</si>
  <si>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Tanzania</t>
  </si>
  <si>
    <t>Uganda</t>
  </si>
  <si>
    <t>Ukraine</t>
  </si>
  <si>
    <t>Uruguay</t>
  </si>
  <si>
    <t>Uzbekistan</t>
  </si>
  <si>
    <t>St. Vincent and the Grenadines</t>
  </si>
  <si>
    <t>Venezuela, RB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</si>
  <si>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</si>
  <si>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</si>
  <si>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</si>
  <si>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</si>
  <si>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</si>
  <si>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</si>
  <si>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</si>
  <si>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</si>
  <si>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Bahrain</t>
  </si>
  <si>
    <t>Barbados</t>
  </si>
  <si>
    <t>Czech Republic</t>
  </si>
  <si>
    <t>https://ehis.uzis.cz/index.php?pg=home--publikace-analyzy</t>
  </si>
  <si>
    <t>https://www.uzis.cz/index.php?pg=vystupy--knihovna&amp;id=2332</t>
  </si>
  <si>
    <t>Greece</t>
  </si>
  <si>
    <t>https://www.statistics.gr/en/statistics/pop</t>
  </si>
  <si>
    <t>Hungary</t>
  </si>
  <si>
    <t>http://www.ksh.hu/data_access_safe_centre_access</t>
  </si>
  <si>
    <t>http://www.ksh.hu/docs/eng/xftp/stattukor/eelef09m.pdf</t>
  </si>
  <si>
    <t>Latvia</t>
  </si>
  <si>
    <t>Lithuania</t>
  </si>
  <si>
    <t>https://osp.stat.gov.lt/viesos-duomenu-rinkmenos/-/asset_publisher/i2LnhXkrXAbl/content/2014-m-gyventoju-sveikatos-statistinio-tyrimo-?inheritRedirect=false&amp;redirect=https%3A%2F%2Fosp.stat.gov.lt%2Fviesos-duomenu-rinkmenos%3Fp_p_id%3D101_INSTANCE_i2LnhXkrXAbl%26p_p_lifecycle%3D0%26p_p_state%3Dnormal%26p_p_mode%3Dview%26p_p_col_id%3Dcolumn-1%26p_p_col_pos%3D1%26p_p_col_count%3D2</t>
  </si>
  <si>
    <t>Oman</t>
  </si>
  <si>
    <t>Saudi Arabia</t>
  </si>
  <si>
    <t>https://www.stats.gov.sa/en/965</t>
  </si>
  <si>
    <t>Slovak Republic</t>
  </si>
  <si>
    <t>https://slovak.statistics.sk/wps/portal/ext/themes/demography/health/about/!ut/p/z1/pZNNc4IwEIZ_iweOJRsSQ-wt2Bqxjgqotbl00KHIjICDtLT_vtiPA1pDO92cMnnedzebDVJohVQWviRxWCZ5Fu7q_YNij57tcsfBAriztMC1Jz6-8zyJfYruT4CJfwvuXMykP6IYaBepxnHXBnAnwQJgGUAwZV_6vhRDao8B-Fh2wRXDhd_zCAFBTvQX8sOFEPA7vaZATf1iSPT6I6DTz1lLfvY__RH44_3PAKVvbxBltYf6wHSv2OajtIMicQsA3w6DYGaJHpX9G386qCexb_FgzCyANgdGzoBmLxy7JYVkaIRUsk7NapOaYFqU9oBxDJhzsGxy_EwiWxMeI1VET1ERFeZzUf-xbVnuD9cGGFBVlRnnebyLzE2eGvCTZJsfSrRqkmifLj5j9eom9bpS67dKdDrvzj5Ymw!!/dz/d5/L2dBISEvZ0FBIS9nQSEh/</t>
  </si>
  <si>
    <t>Andorra</t>
  </si>
  <si>
    <t>https://ghdx.healthdata.org/record/andorra-national-health-survey-2011</t>
  </si>
  <si>
    <t>United Arab Emirates</t>
  </si>
  <si>
    <t>Australia</t>
  </si>
  <si>
    <t>https://www.abs.gov.au/AUSSTATS/abs@.nsf/second+level+view?ReadForm&amp;prodno=4324.0.55.001&amp;viewtitle=Microdata:%20Australian%20Health%20Survey,%20National%20Health%20Survey~2011-12~Previous~24/09/2013&amp;&amp;tabname=Past%20Future%20Issues&amp;prodno=4324.0.55.001&amp;issue=2011-12&amp;num=&amp;view=&amp;</t>
  </si>
  <si>
    <t>https://www.abs.gov.au/australianhealthsurvey</t>
  </si>
  <si>
    <t>Austria</t>
  </si>
  <si>
    <t>http://www.statistik.at/web_de/dokumentationen/menschen_und_gesellschaft/Gesundheit/index.html</t>
  </si>
  <si>
    <t>http://www.statistik.at/web_en/documentations/people_and_society/health/index.html</t>
  </si>
  <si>
    <t>Belgium</t>
  </si>
  <si>
    <t>https://statbel.fgov.be/sites/default/files/files/documents/Workshop/Workshop%20mortalit%C3%A9%2025.1.19/Data4research_sciensano_2_bis.pdf</t>
  </si>
  <si>
    <t>Bahamas, The</t>
  </si>
  <si>
    <t>Brunei Darussalam</t>
  </si>
  <si>
    <t>Canada</t>
  </si>
  <si>
    <t>https://www23.statcan.gc.ca/imdb/p2SV.pl?Function=getSurvey&amp;Id=1263799</t>
  </si>
  <si>
    <t>https://www23.statcan.gc.ca/imdb/p2SV.pl?Function=getSurvey&amp;Id=75088</t>
  </si>
  <si>
    <t>Switzerland</t>
  </si>
  <si>
    <t>https://www.bfs.admin.ch/bfs/de/home/statistiken/gesundheit/erhebungen/sgb.html</t>
  </si>
  <si>
    <t>Cyprus</t>
  </si>
  <si>
    <t>https://www.mof.gov.cy/mof/cystat/statistics.nsf/populationcondition_23main_en/populationcondition_23main_en?OpenForm&amp;Start=1&amp;Count=1000&amp;Expand=2&amp;Seq=1</t>
  </si>
  <si>
    <t>Germany</t>
  </si>
  <si>
    <t>Denmark</t>
  </si>
  <si>
    <t>Spain</t>
  </si>
  <si>
    <t>https://www.ine.es/ss/Satellite?L=1&amp;c=INEPublicacion_P&amp;cid=1259924822559&amp;idp=1259924822559&amp;p=1254735110606&amp;pagename=ProductosYServicios%2FPYSLayout&amp;tittema=Health</t>
  </si>
  <si>
    <t>https://www.ine.es/dyngs/IOE/en/operacion.htm?numinv=54009</t>
  </si>
  <si>
    <t>https://www.ine.es/dyngs/INEbase/en/operacion.htm?c=Estadistica_C&amp;cid=1254736176783&amp;menu=resultados&amp;idp=1254735573175#!tabs-1254736194724
https://www.ine.es/dyngs/INEbase/en/operacion.htm?c=Estadistica_C&amp;cid=1254736176784&amp;menu=resultados&amp;idp=1254735573175#!tabs-1254736194728
https://www.mscbs.gob.es/estadEstudios/estadisticas/encuestaNacional/home.htm</t>
  </si>
  <si>
    <t>Estonia</t>
  </si>
  <si>
    <t>https://www.stat.ee/en/submit-data/about-data-submission/personal-surveys#Kuidas-andmeid-kogutakse-114</t>
  </si>
  <si>
    <t>https://statistika.tai.ee/Resources/PX/Databases/Andmebaas/05Uuringud/01ETeU/01Tervis/ETUinfo_en.htm</t>
  </si>
  <si>
    <t>https://www.stat.ee/en/submit-data/about-data-submission/personal-surveys#Kui-sageli-uuringut-korraldatakse-113</t>
  </si>
  <si>
    <t>Finland</t>
  </si>
  <si>
    <t>France</t>
  </si>
  <si>
    <t>https://ec.europa.eu/eurostat/de/web/microdata/european-health-interview-survey</t>
  </si>
  <si>
    <t>https://www.insee.fr/en/metadonnees/source/serie/s1264</t>
  </si>
  <si>
    <t>United Kingdom</t>
  </si>
  <si>
    <t>https://www.gov.uk/search/all?keywords=HEALTH+SURVEY&amp;order=relevance</t>
  </si>
  <si>
    <t>Ireland</t>
  </si>
  <si>
    <t>https://www.cso.ie/en/methods/health/irishhealthsurveyihs/</t>
  </si>
  <si>
    <t>https://ec.europa.eu/eurostat/web/microdata/european-union-statistics-on-income-and-living-conditions#SILC%20SUFs</t>
  </si>
  <si>
    <t>https://www.cso.ie/en/statistics/health/irishhealthsurvey/</t>
  </si>
  <si>
    <t>Iceland</t>
  </si>
  <si>
    <t>https://statice.is/statistics/society/health/health-interview-survey-2015/</t>
  </si>
  <si>
    <t>https://statice.is/statistics/society/health/</t>
  </si>
  <si>
    <t>Israel</t>
  </si>
  <si>
    <t>https://www.cbs.gov.il/he/subjects/Pages/%D7%91%D7%A8%D7%99%D7%90%D7%95%D7%AA-%D7%95%D7%90%D7%95%D7%A8%D7%97-%D7%97%D7%99%D7%99%D7%9D-%D7%A1%D7%A7%D7%A8-2017.aspx</t>
  </si>
  <si>
    <t>https://www.cbs.gov.il/he/Surveys/Pages/%D7%A1%D7%A7%D7%A8-%D7%97%D7%91%D7%A8%D7%AA%D7%99.aspx</t>
  </si>
  <si>
    <t>https://www.cbs.gov.il/he/subjects/Pages/%D7%94%D7%AA%D7%A0%D7%94%D7%92%D7%95%D7%99%D7%95%D7%AA-%D7%91%D7%A8%D7%99%D7%90%D7%95%D7%AA.aspx</t>
  </si>
  <si>
    <t>https://www.cbs.gov.il/he/Surveys/Pages/%D7%A1%D7%A7%D7%A8-%D7%9E%D7%A6%D7%91-%D7%91%D7%A8%D7%99%D7%90%D7%95%D7%AA-%D7%95%D7%AA%D7%96%D7%95%D7%A0%D7%94-%D7%9C%D7%90%D7%95%D7%9E%D7%99.aspx</t>
  </si>
  <si>
    <t>Italy</t>
  </si>
  <si>
    <t>http://siqual.istat.it/SIQual/visualizza.do?id=8889032</t>
  </si>
  <si>
    <t>http://siqual.istat.it/SIQual/fenomeni.do?id=0071201</t>
  </si>
  <si>
    <t>Japan</t>
  </si>
  <si>
    <t>https://www.mhlw.go.jp/english/database/db-hss/cslc-report.html</t>
  </si>
  <si>
    <t>http://www.stat.go.jp/english/data/nenkan/1431-24e.html</t>
  </si>
  <si>
    <t>http://www.stat.go.jp/english/index.html</t>
  </si>
  <si>
    <t>https://www.mhlw.go.jp/stf/houdou/0000177189.html</t>
  </si>
  <si>
    <t>Korea, Rep.</t>
  </si>
  <si>
    <t>http://kosis.kr/eng/statisticsList/statisticsListIndex.do?menuId=M_01_01&amp;vwcd=MT_ETITLE&amp;parmTabId=M_01_01&amp;statId=1962009&amp;themaId=#SelectStatsBoxDiv</t>
  </si>
  <si>
    <t>https://knhanes.cdc.go.kr/knhanes/eng/index.do</t>
  </si>
  <si>
    <t>Kuwait</t>
  </si>
  <si>
    <t>https://ghdx.healthdata.org/record/kuwait-world-health-survey-2008-2010</t>
  </si>
  <si>
    <t>Luxembourg</t>
  </si>
  <si>
    <t>Malta</t>
  </si>
  <si>
    <t>Netherlands</t>
  </si>
  <si>
    <t>https://www.cbs.nl/nl-nl/onze-diensten/maatwerk-en-microdata/microdata-zelf-onderzoek-doen/catalogus-microdata/gezondheid-en-welzijn#id=gecon-gezondheidsenquete-2019-0</t>
  </si>
  <si>
    <t>https://www.cbs.nl/nl-nl/onze-diensten/maatwerk-en-microdata/microdata-zelf-onderzoek-doen/microdatabestanden/gecon-gezondheidsenquete-2019</t>
  </si>
  <si>
    <t>Norway</t>
  </si>
  <si>
    <t>https://www.ssb.no/en/helse/statistikker/helseforhold</t>
  </si>
  <si>
    <t>https://www.ssb.no/en/statbank/list/helseforhold</t>
  </si>
  <si>
    <t>https://www.ssb.no/en/statbank/table/11190/</t>
  </si>
  <si>
    <t>New Zealand</t>
  </si>
  <si>
    <t>https://www.health.govt.nz/nz-health-statistics/national-collections-and-surveys/surveys/new-zealand-health-survey</t>
  </si>
  <si>
    <t>Portugal</t>
  </si>
  <si>
    <t>https://www.ine.pt/xportal/xmain?xpid=INE&amp;xpgid=ine_publicacoes&amp;PUBLICACOESpub_boui=263722247&amp;PUBLICACOEStema=5414284&amp;PUBLICACOESmodo=2</t>
  </si>
  <si>
    <t>https://www.ine.pt/xportal/xmain?xpid=INE&amp;xpgid=ine_publicacoes&amp;PUBLICACOESpub_boui=69444907&amp;PUBLICACOESmodo=2</t>
  </si>
  <si>
    <t>Qatar</t>
  </si>
  <si>
    <t>https://extranet.who.int/ncdsmicrodata/index.php/catalog/708</t>
  </si>
  <si>
    <t>Singapore</t>
  </si>
  <si>
    <t>https://www.singstat.gov.sg/find-data/search-by-theme/society/health/latest-data
https://www.moh.gov.sg/docs/librariesprovider5/resources-statistics/reports/executive-summary-nphs-2016_17.pdf</t>
  </si>
  <si>
    <t>https://www.singstat.gov.sg/-/media/files/publications/society/ssnsep05-pg19-20.pdf</t>
  </si>
  <si>
    <t>https://www.singstat.gov.sg/-/media/files/publications/society/ssnmar10-pg25-27.pdf</t>
  </si>
  <si>
    <t>Slovenia</t>
  </si>
  <si>
    <t>Sweden</t>
  </si>
  <si>
    <t>United States</t>
  </si>
  <si>
    <t>https://www.cdc.gov/nchs/nhis/data-questionnaires-documentation.htm</t>
  </si>
  <si>
    <t>https://www.census.gov/programs-surveys/nhis.html</t>
  </si>
  <si>
    <t>KSV</t>
  </si>
  <si>
    <t>ROM</t>
  </si>
  <si>
    <t>TMP</t>
  </si>
  <si>
    <t>WBG</t>
  </si>
  <si>
    <t>ZAR</t>
  </si>
  <si>
    <t>YR2025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</si>
</sst>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0" fillId="3" borderId="0" xfId="0" applyFill="1"/>
    <xf numFmtId="0" fontId="0" fillId="0" borderId="1" xfId="0" applyBorder="1"/>
    <xf numFmtId="0" fontId="0" fillId="0" borderId="0" xfId="0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/>
    </xf>
    <xf numFmtId="1" fontId="3" fillId="5" borderId="2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top"/>
    </xf>
    <xf numFmtId="14" fontId="3" fillId="5" borderId="2" xfId="0" applyNumberFormat="1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0" fillId="6" borderId="1" xfId="0" applyFill="1" applyBorder="1"/>
    <xf numFmtId="0" fontId="0" fillId="6" borderId="1" xfId="0" applyFill="1" applyBorder="1" applyAlignment="1">
      <alignment vertical="top"/>
    </xf>
    <xf numFmtId="1" fontId="0" fillId="2" borderId="1" xfId="0" applyNumberFormat="1" applyFill="1" applyBorder="1" applyAlignment="1">
      <alignment horizontal="center" vertical="top"/>
    </xf>
    <xf numFmtId="0" fontId="0" fillId="2" borderId="1" xfId="0" applyFill="1" applyBorder="1" applyAlignment="1">
      <alignment horizontal="center"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/>
    <xf numFmtId="0" fontId="0" fillId="2" borderId="0" xfId="0" applyFill="1"/>
    <xf numFmtId="0" fontId="0" fillId="0" borderId="1" xfId="0" applyBorder="1" applyAlignment="1">
      <alignment horizontal="left"/>
    </xf>
    <xf numFmtId="0" fontId="5" fillId="0" borderId="1" xfId="1" applyBorder="1" applyAlignment="1">
      <alignment horizontal="left"/>
    </xf>
    <xf numFmtId="0" fontId="0" fillId="2" borderId="1" xfId="0" applyFill="1" applyBorder="1" applyAlignment="1">
      <alignment horizontal="left"/>
    </xf>
    <xf numFmtId="0" fontId="3" fillId="0" borderId="1" xfId="0" applyFont="1" applyBorder="1"/>
    <xf numFmtId="0" fontId="5" fillId="0" borderId="1" xfId="1" applyBorder="1"/>
    <xf numFmtId="0" fontId="5" fillId="0" borderId="1" xfId="1" applyFill="1" applyBorder="1"/>
    <xf numFmtId="0" fontId="5" fillId="0" borderId="1" xfId="1" applyBorder="1" applyAlignment="1"/>
    <xf numFmtId="1" fontId="0" fillId="0" borderId="0" xfId="0" applyNumberFormat="1" applyAlignment="1">
      <alignment horizontal="center" vertical="top"/>
    </xf>
    <xf numFmtId="0" fontId="5" fillId="2" borderId="1" xfId="1" applyFill="1" applyBorder="1" applyAlignment="1">
      <alignment horizontal="left"/>
    </xf>
    <xf numFmtId="14" fontId="3" fillId="5" borderId="2" xfId="0" applyNumberFormat="1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99"/>
      <color rgb="FFE2F2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slovak.statistics.sk/wps/portal/ext/themes/demography/health/about/!ut/p/z1/pZNNc4IwEIZ_iweOJRsSQ-wt2Bqxjgqotbl00KHIjICDtLT_vtiPA1pDO92cMnnedzebDVJohVQWviRxWCZ5Fu7q_YNij57tcsfBAriztMC1Jz6-8zyJfYruT4CJfwvuXMykP6IYaBepxnHXBnAnwQJgGUAwZV_6vhRDao8B-Fh2wRXDhd_zCAFBTvQX8sOFEPA7vaZATf1iSPT6I6DTz1lLfvY__RH44_3PAKVvbxBltYf6wHSv2OajtIMicQsA3w6DYGaJHpX9G386qCexb_FgzCyANgdGzoBmLxy7JYVkaIRUsk7NapOaYFqU9oBxDJhzsGxy_EwiWxMeI1VET1ERFeZzUf-xbVnuD9cGGFBVlRnnebyLzE2eGvCTZJsfSrRqkmifLj5j9eom9bpS67dKdDrvzj5Ymw!!/dz/d5/L2dBISEvZ0FBIS9nQSEh/" TargetMode="External"/><Relationship Id="rId18" Type="http://schemas.openxmlformats.org/officeDocument/2006/relationships/hyperlink" Target="https://www.bfs.admin.ch/bfs/de/home/statistiken/gesundheit/erhebungen/sgb.html" TargetMode="External"/><Relationship Id="rId26" Type="http://schemas.openxmlformats.org/officeDocument/2006/relationships/hyperlink" Target="https://www.mhlw.go.jp/english/database/db-hss/cslc-report.html" TargetMode="External"/><Relationship Id="rId39" Type="http://schemas.openxmlformats.org/officeDocument/2006/relationships/hyperlink" Target="https://ec.europa.eu/eurostat/web/microdata/european-health-interview-survey" TargetMode="External"/><Relationship Id="rId21" Type="http://schemas.openxmlformats.org/officeDocument/2006/relationships/hyperlink" Target="https://ec.europa.eu/eurostat/web/microdata/european-health-interview-survey" TargetMode="External"/><Relationship Id="rId34" Type="http://schemas.openxmlformats.org/officeDocument/2006/relationships/hyperlink" Target="https://www.cdc.gov/nchs/nhis/data-questionnaires-documentation.htm" TargetMode="External"/><Relationship Id="rId42" Type="http://schemas.openxmlformats.org/officeDocument/2006/relationships/hyperlink" Target="https://www.insee.fr/en/metadonnees/source/serie/s1264" TargetMode="External"/><Relationship Id="rId47" Type="http://schemas.openxmlformats.org/officeDocument/2006/relationships/printerSettings" Target="../printerSettings/printerSettings2.bin"/><Relationship Id="rId7" Type="http://schemas.openxmlformats.org/officeDocument/2006/relationships/hyperlink" Target="https://www.cbs.nl/nl-nl/onze-diensten/maatwerk-en-microdata/microdata-zelf-onderzoek-doen/catalogus-microdata/gezondheid-en-welzijn" TargetMode="External"/><Relationship Id="rId2" Type="http://schemas.openxmlformats.org/officeDocument/2006/relationships/hyperlink" Target="https://ehis.uzis.cz/index.php?pg=home--publikace-analyzy" TargetMode="External"/><Relationship Id="rId16" Type="http://schemas.openxmlformats.org/officeDocument/2006/relationships/hyperlink" Target="https://ec.europa.eu/eurostat/web/microdata/european-health-interview-survey" TargetMode="External"/><Relationship Id="rId29" Type="http://schemas.openxmlformats.org/officeDocument/2006/relationships/hyperlink" Target="https://ec.europa.eu/eurostat/web/microdata/european-health-interview-survey" TargetMode="External"/><Relationship Id="rId1" Type="http://schemas.openxmlformats.org/officeDocument/2006/relationships/hyperlink" Target="http://www.ksh.hu/data_access_safe_centre_access" TargetMode="External"/><Relationship Id="rId6" Type="http://schemas.openxmlformats.org/officeDocument/2006/relationships/hyperlink" Target="http://www.stat.go.jp/english/index.html" TargetMode="External"/><Relationship Id="rId11" Type="http://schemas.openxmlformats.org/officeDocument/2006/relationships/hyperlink" Target="https://www.statistics.gr/en/statistics/pop" TargetMode="External"/><Relationship Id="rId24" Type="http://schemas.openxmlformats.org/officeDocument/2006/relationships/hyperlink" Target="http://siqual.istat.it/SIQual/visualizza.do?id=8889032" TargetMode="External"/><Relationship Id="rId32" Type="http://schemas.openxmlformats.org/officeDocument/2006/relationships/hyperlink" Target="https://www.ine.pt/xportal/xmain?xpid=INE&amp;xpgid=ine_publicacoes&amp;PUBLICACOESpub_boui=263722247&amp;PUBLICACOEStema=5414284&amp;PUBLICACOESmodo=2" TargetMode="External"/><Relationship Id="rId37" Type="http://schemas.openxmlformats.org/officeDocument/2006/relationships/hyperlink" Target="https://www.uzis.cz/index.php?pg=vystupy--knihovna&amp;id=2332" TargetMode="External"/><Relationship Id="rId40" Type="http://schemas.openxmlformats.org/officeDocument/2006/relationships/hyperlink" Target="https://ec.europa.eu/eurostat/web/microdata/european-health-interview-survey" TargetMode="External"/><Relationship Id="rId45" Type="http://schemas.openxmlformats.org/officeDocument/2006/relationships/hyperlink" Target="https://ec.europa.eu/eurostat/web/microdata/european-health-interview-survey" TargetMode="External"/><Relationship Id="rId5" Type="http://schemas.openxmlformats.org/officeDocument/2006/relationships/hyperlink" Target="http://www.stat.go.jp/english/data/nenkan/1431-24e.html" TargetMode="External"/><Relationship Id="rId15" Type="http://schemas.openxmlformats.org/officeDocument/2006/relationships/hyperlink" Target="http://www.statistik.at/web_de/dokumentationen/menschen_und_gesellschaft/Gesundheit/index.html" TargetMode="External"/><Relationship Id="rId23" Type="http://schemas.openxmlformats.org/officeDocument/2006/relationships/hyperlink" Target="https://statice.is/statistics/society/health/health-interview-survey-2015/" TargetMode="External"/><Relationship Id="rId28" Type="http://schemas.openxmlformats.org/officeDocument/2006/relationships/hyperlink" Target="https://knhanes.cdc.go.kr/knhanes/eng/index.do" TargetMode="External"/><Relationship Id="rId36" Type="http://schemas.openxmlformats.org/officeDocument/2006/relationships/hyperlink" Target="https://www.cbs.gov.il/he/Surveys/Pages/%D7%A1%D7%A7%D7%A8-%D7%9E%D7%A6%D7%91-%D7%91%D7%A8%D7%99%D7%90%D7%95%D7%AA-%D7%95%D7%AA%D7%96%D7%95%D7%A0%D7%94-%D7%9C%D7%90%D7%95%D7%9E%D7%99.aspx" TargetMode="External"/><Relationship Id="rId10" Type="http://schemas.openxmlformats.org/officeDocument/2006/relationships/hyperlink" Target="https://ec.europa.eu/eurostat/web/microdata/european-health-interview-survey" TargetMode="External"/><Relationship Id="rId19" Type="http://schemas.openxmlformats.org/officeDocument/2006/relationships/hyperlink" Target="https://www.mof.gov.cy/mof/cystat/statistics.nsf/populationcondition_23main_en/populationcondition_23main_en?OpenForm&amp;Start=1&amp;Count=1000&amp;Expand=2&amp;Seq=1" TargetMode="External"/><Relationship Id="rId31" Type="http://schemas.openxmlformats.org/officeDocument/2006/relationships/hyperlink" Target="https://www.ssb.no/en/statbank/list/helseforhold" TargetMode="External"/><Relationship Id="rId44" Type="http://schemas.openxmlformats.org/officeDocument/2006/relationships/hyperlink" Target="https://ec.europa.eu/eurostat/web/microdata/european-health-interview-survey" TargetMode="External"/><Relationship Id="rId4" Type="http://schemas.openxmlformats.org/officeDocument/2006/relationships/hyperlink" Target="https://www.gov.uk/search/all?keywords=HEALTH+SURVEY&amp;order=relevance" TargetMode="External"/><Relationship Id="rId9" Type="http://schemas.openxmlformats.org/officeDocument/2006/relationships/hyperlink" Target="https://www.cbs.gov.il/he/subjects/Pages/%D7%91%D7%A8%D7%99%D7%90%D7%95%D7%AA-%D7%95%D7%90%D7%95%D7%A8%D7%97-%D7%97%D7%99%D7%99%D7%9D-%D7%A1%D7%A7%D7%A8-2017.aspx" TargetMode="External"/><Relationship Id="rId14" Type="http://schemas.openxmlformats.org/officeDocument/2006/relationships/hyperlink" Target="https://www.abs.gov.au/AUSSTATS/abs@.nsf/second+level+view?ReadForm&amp;prodno=4324.0.55.001&amp;viewtitle=Microdata:%20Australian%20Health%20Survey,%20National%20Health%20Survey~2011-12~Previous~24/09/2013&amp;&amp;tabname=Past%20Future%20Issues&amp;prodno=4324.0.55.001&amp;issue=2011-12&amp;num=&amp;view=&amp;" TargetMode="External"/><Relationship Id="rId22" Type="http://schemas.openxmlformats.org/officeDocument/2006/relationships/hyperlink" Target="https://www.cso.ie/en/methods/health/irishhealthsurveyihs/" TargetMode="External"/><Relationship Id="rId27" Type="http://schemas.openxmlformats.org/officeDocument/2006/relationships/hyperlink" Target="http://kosis.kr/eng/statisticsList/statisticsListIndex.do?menuId=M_01_01&amp;vwcd=MT_ETITLE&amp;parmTabId=M_01_01&amp;statId=1962009&amp;themaId=" TargetMode="External"/><Relationship Id="rId30" Type="http://schemas.openxmlformats.org/officeDocument/2006/relationships/hyperlink" Target="https://www.ssb.no/en/helse/statistikker/helseforhold" TargetMode="External"/><Relationship Id="rId35" Type="http://schemas.openxmlformats.org/officeDocument/2006/relationships/hyperlink" Target="https://ec.europa.eu/eurostat/de/web/microdata/european-health-interview-survey" TargetMode="External"/><Relationship Id="rId43" Type="http://schemas.openxmlformats.org/officeDocument/2006/relationships/hyperlink" Target="https://www.mhlw.go.jp/stf/houdou/0000177189.html" TargetMode="External"/><Relationship Id="rId8" Type="http://schemas.openxmlformats.org/officeDocument/2006/relationships/hyperlink" Target="https://statbel.fgov.be/sites/default/files/files/documents/Workshop/Workshop%20mortalit%C3%A9%2025.1.19/Data4research_sciensano_2_bis.pdf" TargetMode="External"/><Relationship Id="rId3" Type="http://schemas.openxmlformats.org/officeDocument/2006/relationships/hyperlink" Target="https://www.ine.es/dyngs/IOE/en/operacion.htm?numinv=54009" TargetMode="External"/><Relationship Id="rId12" Type="http://schemas.openxmlformats.org/officeDocument/2006/relationships/hyperlink" Target="https://www.stats.gov.sa/en/965" TargetMode="External"/><Relationship Id="rId17" Type="http://schemas.openxmlformats.org/officeDocument/2006/relationships/hyperlink" Target="https://www23.statcan.gc.ca/imdb/p2SV.pl?Function=getSurvey&amp;Id=1263799" TargetMode="External"/><Relationship Id="rId25" Type="http://schemas.openxmlformats.org/officeDocument/2006/relationships/hyperlink" Target="http://siqual.istat.it/SIQual/fenomeni.do?id=0071201" TargetMode="External"/><Relationship Id="rId33" Type="http://schemas.openxmlformats.org/officeDocument/2006/relationships/hyperlink" Target="https://www.ine.pt/xportal/xmain?xpid=INE&amp;xpgid=ine_publicacoes&amp;PUBLICACOESpub_boui=69444907&amp;PUBLICACOESmodo=2" TargetMode="External"/><Relationship Id="rId38" Type="http://schemas.openxmlformats.org/officeDocument/2006/relationships/hyperlink" Target="https://ec.europa.eu/eurostat/web/microdata/european-health-interview-survey" TargetMode="External"/><Relationship Id="rId46" Type="http://schemas.openxmlformats.org/officeDocument/2006/relationships/hyperlink" Target="https://www.census.gov/programs-surveys/nhis.html" TargetMode="External"/><Relationship Id="rId20" Type="http://schemas.openxmlformats.org/officeDocument/2006/relationships/hyperlink" Target="https://www.ine.es/ss/Satellite?L=1&amp;c=INEPublicacion_P&amp;cid=1259924822559&amp;idp=1259924822559&amp;p=1254735110606&amp;pagename=ProductosYServicios%2FPYSLayout&amp;tittema=Health" TargetMode="External"/><Relationship Id="rId41" Type="http://schemas.openxmlformats.org/officeDocument/2006/relationships/hyperlink" Target="https://www.stat.ee/en/submit-data/about-data-submission/personal-survey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FD623-1ABC-43BC-A0BD-2619361D9EAD}">
  <dimension ref="A1:AM192"/>
  <sheetViews>
    <sheetView workbookViewId="0">
      <selection activeCell="M9" sqref="M9"/>
    </sheetView>
  </sheetViews>
  <sheetFormatPr baseColWidth="10" defaultColWidth="8.83203125" defaultRowHeight="15" x14ac:dyDescent="0.2"/>
  <cols>
    <col min="2" max="2" width="22.83203125" customWidth="1"/>
  </cols>
  <sheetData>
    <row r="1" spans="1:39" x14ac:dyDescent="0.2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</row>
    <row r="2" spans="1:39" x14ac:dyDescent="0.2">
      <c r="A2" t="s">
        <v>37</v>
      </c>
      <c r="B2" t="s">
        <v>38</v>
      </c>
      <c r="C2" t="s">
        <v>39</v>
      </c>
    </row>
    <row r="3" spans="1:39" x14ac:dyDescent="0.2">
      <c r="A3" t="s">
        <v>40</v>
      </c>
      <c r="B3" t="s">
        <v>41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</row>
    <row r="4" spans="1:39" x14ac:dyDescent="0.2">
      <c r="A4" t="s">
        <v>42</v>
      </c>
      <c r="B4" t="s">
        <v>41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</row>
    <row r="5" spans="1:39" x14ac:dyDescent="0.2">
      <c r="A5" t="s">
        <v>43</v>
      </c>
      <c r="B5" t="s">
        <v>41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</row>
    <row r="6" spans="1:39" x14ac:dyDescent="0.2">
      <c r="A6" t="s">
        <v>44</v>
      </c>
      <c r="B6" t="s">
        <v>41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</row>
    <row r="7" spans="1:39" x14ac:dyDescent="0.2">
      <c r="A7" t="s">
        <v>45</v>
      </c>
      <c r="B7" t="s">
        <v>41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</row>
    <row r="8" spans="1:39" x14ac:dyDescent="0.2">
      <c r="A8" t="s">
        <v>46</v>
      </c>
      <c r="B8" t="s">
        <v>41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 spans="1:39" x14ac:dyDescent="0.2">
      <c r="A9" t="s">
        <v>47</v>
      </c>
      <c r="B9" t="s">
        <v>41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 spans="1:39" x14ac:dyDescent="0.2">
      <c r="A10" t="s">
        <v>48</v>
      </c>
      <c r="B10" t="s">
        <v>41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0</v>
      </c>
    </row>
    <row r="11" spans="1:39" x14ac:dyDescent="0.2">
      <c r="A11" t="s">
        <v>49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</row>
    <row r="12" spans="1:39" x14ac:dyDescent="0.2">
      <c r="A12" t="s">
        <v>50</v>
      </c>
      <c r="B12" t="s">
        <v>41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2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 spans="1:39" x14ac:dyDescent="0.2">
      <c r="A13" t="s">
        <v>51</v>
      </c>
      <c r="B13" t="s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0</v>
      </c>
      <c r="P13">
        <v>1</v>
      </c>
      <c r="Q13">
        <v>0</v>
      </c>
      <c r="R13">
        <v>0</v>
      </c>
      <c r="S13">
        <v>1</v>
      </c>
      <c r="T13">
        <v>1</v>
      </c>
      <c r="U13">
        <v>0</v>
      </c>
      <c r="V13">
        <v>1</v>
      </c>
      <c r="W13">
        <v>1</v>
      </c>
      <c r="X13">
        <v>0</v>
      </c>
      <c r="Y13">
        <v>1</v>
      </c>
      <c r="Z13">
        <v>1</v>
      </c>
      <c r="AA13">
        <v>0</v>
      </c>
      <c r="AB13">
        <v>0</v>
      </c>
      <c r="AC13">
        <v>0</v>
      </c>
      <c r="AD13">
        <v>1</v>
      </c>
      <c r="AE13">
        <v>1</v>
      </c>
      <c r="AF13">
        <v>0</v>
      </c>
      <c r="AG13">
        <v>1</v>
      </c>
      <c r="AH13">
        <v>0</v>
      </c>
      <c r="AI13">
        <v>0</v>
      </c>
      <c r="AJ13">
        <v>1</v>
      </c>
      <c r="AK13">
        <v>0</v>
      </c>
      <c r="AL13">
        <v>1</v>
      </c>
      <c r="AM13">
        <v>0</v>
      </c>
    </row>
    <row r="14" spans="1:39" x14ac:dyDescent="0.2">
      <c r="A14" t="s">
        <v>52</v>
      </c>
      <c r="B14" t="s">
        <v>41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">
      <c r="A15" t="s">
        <v>53</v>
      </c>
      <c r="B15" t="s">
        <v>41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 spans="1:39" x14ac:dyDescent="0.2">
      <c r="A16" t="s">
        <v>54</v>
      </c>
      <c r="B16" t="s">
        <v>41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</row>
    <row r="17" spans="1:39" x14ac:dyDescent="0.2">
      <c r="A17" t="s">
        <v>55</v>
      </c>
      <c r="B17" t="s">
        <v>41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</row>
    <row r="18" spans="1:39" x14ac:dyDescent="0.2">
      <c r="A18" t="s">
        <v>56</v>
      </c>
      <c r="B18" t="s">
        <v>41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1</v>
      </c>
      <c r="P18">
        <v>0</v>
      </c>
      <c r="Q18">
        <v>1</v>
      </c>
      <c r="R18">
        <v>0</v>
      </c>
      <c r="S18">
        <v>1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</row>
    <row r="19" spans="1:39" x14ac:dyDescent="0.2">
      <c r="A19" t="s">
        <v>57</v>
      </c>
      <c r="B19" t="s">
        <v>41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1</v>
      </c>
      <c r="AM19">
        <v>0</v>
      </c>
    </row>
    <row r="20" spans="1:39" x14ac:dyDescent="0.2">
      <c r="A20" t="s">
        <v>58</v>
      </c>
      <c r="B20" t="s">
        <v>41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 spans="1:39" x14ac:dyDescent="0.2">
      <c r="A21" t="s">
        <v>59</v>
      </c>
      <c r="B21" t="s">
        <v>41</v>
      </c>
      <c r="C21">
        <v>0</v>
      </c>
      <c r="D21">
        <v>0</v>
      </c>
      <c r="E21">
        <v>0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 spans="1:39" x14ac:dyDescent="0.2">
      <c r="A22" t="s">
        <v>60</v>
      </c>
      <c r="B22" t="s">
        <v>41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1</v>
      </c>
      <c r="P22">
        <v>0</v>
      </c>
      <c r="Q22">
        <v>0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</row>
    <row r="23" spans="1:39" x14ac:dyDescent="0.2">
      <c r="A23" t="s">
        <v>61</v>
      </c>
      <c r="B23" t="s">
        <v>41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 spans="1:39" x14ac:dyDescent="0.2">
      <c r="A24" t="s">
        <v>62</v>
      </c>
      <c r="B24" t="s">
        <v>41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 spans="1:39" x14ac:dyDescent="0.2">
      <c r="A25" t="s">
        <v>63</v>
      </c>
      <c r="B25" t="s">
        <v>41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1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  <c r="AM25">
        <v>0</v>
      </c>
    </row>
    <row r="26" spans="1:39" x14ac:dyDescent="0.2">
      <c r="A26" t="s">
        <v>64</v>
      </c>
      <c r="B26" t="s">
        <v>41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</row>
    <row r="27" spans="1:39" x14ac:dyDescent="0.2">
      <c r="A27" t="s">
        <v>65</v>
      </c>
      <c r="B27" t="s">
        <v>41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</row>
    <row r="28" spans="1:39" x14ac:dyDescent="0.2">
      <c r="A28" t="s">
        <v>66</v>
      </c>
      <c r="B28" t="s">
        <v>41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t="s">
        <v>67</v>
      </c>
      <c r="B29" t="s">
        <v>41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t="s">
        <v>68</v>
      </c>
      <c r="B30" t="s">
        <v>41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">
      <c r="A31" t="s">
        <v>69</v>
      </c>
      <c r="B31" t="s">
        <v>41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 spans="1:39" x14ac:dyDescent="0.2">
      <c r="A32" t="s">
        <v>70</v>
      </c>
      <c r="B32" t="s">
        <v>41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</row>
    <row r="33" spans="1:39" x14ac:dyDescent="0.2">
      <c r="A33" t="s">
        <v>71</v>
      </c>
      <c r="B33" t="s">
        <v>41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 spans="1:39" x14ac:dyDescent="0.2">
      <c r="A34" t="s">
        <v>72</v>
      </c>
      <c r="B34" t="s">
        <v>41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 spans="1:39" x14ac:dyDescent="0.2">
      <c r="A35" t="s">
        <v>73</v>
      </c>
      <c r="B35" t="s">
        <v>41</v>
      </c>
      <c r="C35">
        <v>0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1</v>
      </c>
      <c r="S35">
        <v>1</v>
      </c>
      <c r="T35">
        <v>0</v>
      </c>
      <c r="U35">
        <v>1</v>
      </c>
      <c r="V35">
        <v>1</v>
      </c>
      <c r="W35">
        <v>0</v>
      </c>
      <c r="X35">
        <v>0</v>
      </c>
      <c r="Y35">
        <v>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</row>
    <row r="36" spans="1:39" x14ac:dyDescent="0.2">
      <c r="A36" t="s">
        <v>74</v>
      </c>
      <c r="B36" t="s">
        <v>41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</row>
    <row r="37" spans="1:39" x14ac:dyDescent="0.2">
      <c r="A37" t="s">
        <v>75</v>
      </c>
      <c r="B37" t="s">
        <v>41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 spans="1:39" x14ac:dyDescent="0.2">
      <c r="A38" t="s">
        <v>76</v>
      </c>
      <c r="B38" t="s">
        <v>41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1</v>
      </c>
      <c r="L38">
        <v>0</v>
      </c>
      <c r="M38">
        <v>0</v>
      </c>
      <c r="N38">
        <v>0</v>
      </c>
      <c r="O38">
        <v>2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 spans="1:39" x14ac:dyDescent="0.2">
      <c r="A39" t="s">
        <v>77</v>
      </c>
      <c r="B39" t="s">
        <v>41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 spans="1:39" x14ac:dyDescent="0.2">
      <c r="A40" t="s">
        <v>78</v>
      </c>
      <c r="B40" t="s">
        <v>41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1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</row>
    <row r="41" spans="1:39" x14ac:dyDescent="0.2">
      <c r="A41" t="s">
        <v>79</v>
      </c>
      <c r="B41" t="s">
        <v>41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</row>
    <row r="42" spans="1:39" x14ac:dyDescent="0.2">
      <c r="A42" t="s">
        <v>80</v>
      </c>
      <c r="B42" t="s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</row>
    <row r="43" spans="1:39" x14ac:dyDescent="0.2">
      <c r="A43" t="s">
        <v>81</v>
      </c>
      <c r="B43" t="s">
        <v>41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</row>
    <row r="44" spans="1:39" x14ac:dyDescent="0.2">
      <c r="A44" t="s">
        <v>82</v>
      </c>
      <c r="B44" t="s">
        <v>41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</v>
      </c>
      <c r="S44">
        <v>0</v>
      </c>
      <c r="T44">
        <v>0</v>
      </c>
      <c r="U44">
        <v>0</v>
      </c>
      <c r="V44">
        <v>1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</row>
    <row r="45" spans="1:39" x14ac:dyDescent="0.2">
      <c r="A45" t="s">
        <v>83</v>
      </c>
      <c r="B45" t="s">
        <v>41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1</v>
      </c>
      <c r="O45">
        <v>0</v>
      </c>
      <c r="P45">
        <v>0</v>
      </c>
      <c r="Q45">
        <v>0</v>
      </c>
      <c r="R45">
        <v>1</v>
      </c>
      <c r="S45">
        <v>0</v>
      </c>
      <c r="T45">
        <v>0</v>
      </c>
      <c r="U45">
        <v>0</v>
      </c>
      <c r="V45">
        <v>2</v>
      </c>
      <c r="W45">
        <v>0</v>
      </c>
      <c r="X45">
        <v>0</v>
      </c>
      <c r="Y45">
        <v>1</v>
      </c>
      <c r="Z45">
        <v>0</v>
      </c>
      <c r="AA45">
        <v>1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</row>
    <row r="46" spans="1:39" x14ac:dyDescent="0.2">
      <c r="A46" t="s">
        <v>84</v>
      </c>
      <c r="B46" t="s">
        <v>41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0</v>
      </c>
      <c r="AH46">
        <v>0</v>
      </c>
      <c r="AI46">
        <v>1</v>
      </c>
      <c r="AJ46">
        <v>0</v>
      </c>
      <c r="AK46">
        <v>1</v>
      </c>
      <c r="AL46">
        <v>0</v>
      </c>
      <c r="AM46">
        <v>0</v>
      </c>
    </row>
    <row r="47" spans="1:39" x14ac:dyDescent="0.2">
      <c r="A47" t="s">
        <v>85</v>
      </c>
      <c r="B47" t="s">
        <v>41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1</v>
      </c>
      <c r="AM47">
        <v>0</v>
      </c>
    </row>
    <row r="48" spans="1:39" x14ac:dyDescent="0.2">
      <c r="A48" t="s">
        <v>86</v>
      </c>
      <c r="B48" t="s">
        <v>41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</row>
    <row r="49" spans="1:39" x14ac:dyDescent="0.2">
      <c r="A49" t="s">
        <v>87</v>
      </c>
      <c r="B49" t="s">
        <v>41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</row>
    <row r="50" spans="1:39" x14ac:dyDescent="0.2">
      <c r="A50" t="s">
        <v>88</v>
      </c>
      <c r="B50" t="s">
        <v>41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">
      <c r="A51" t="s">
        <v>89</v>
      </c>
      <c r="B51" t="s">
        <v>41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">
      <c r="A52" t="s">
        <v>90</v>
      </c>
      <c r="B52" t="s">
        <v>41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</row>
    <row r="53" spans="1:39" x14ac:dyDescent="0.2">
      <c r="A53" t="s">
        <v>91</v>
      </c>
      <c r="B53" t="s">
        <v>41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</row>
    <row r="54" spans="1:39" x14ac:dyDescent="0.2">
      <c r="A54" t="s">
        <v>92</v>
      </c>
      <c r="B54" t="s">
        <v>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2">
      <c r="A55" t="s">
        <v>93</v>
      </c>
      <c r="B55" t="s">
        <v>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</row>
    <row r="56" spans="1:39" x14ac:dyDescent="0.2">
      <c r="A56" t="s">
        <v>94</v>
      </c>
      <c r="B56" t="s">
        <v>41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1</v>
      </c>
      <c r="N56">
        <v>0</v>
      </c>
      <c r="O56">
        <v>1</v>
      </c>
      <c r="P56">
        <v>1</v>
      </c>
      <c r="Q56">
        <v>0</v>
      </c>
      <c r="R56">
        <v>0</v>
      </c>
      <c r="S56">
        <v>1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</row>
    <row r="57" spans="1:39" x14ac:dyDescent="0.2">
      <c r="A57" t="s">
        <v>95</v>
      </c>
      <c r="B57" t="s">
        <v>41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1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1</v>
      </c>
      <c r="AM57">
        <v>0</v>
      </c>
    </row>
    <row r="58" spans="1:39" x14ac:dyDescent="0.2">
      <c r="A58" t="s">
        <v>96</v>
      </c>
      <c r="B58" t="s">
        <v>41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</row>
    <row r="59" spans="1:39" x14ac:dyDescent="0.2">
      <c r="A59" t="s">
        <v>97</v>
      </c>
      <c r="B59" t="s">
        <v>41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</row>
    <row r="60" spans="1:39" x14ac:dyDescent="0.2">
      <c r="A60" t="s">
        <v>98</v>
      </c>
      <c r="B60" t="s">
        <v>41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</row>
    <row r="61" spans="1:39" x14ac:dyDescent="0.2">
      <c r="A61" t="s">
        <v>99</v>
      </c>
      <c r="B61" t="s">
        <v>41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</row>
    <row r="62" spans="1:39" x14ac:dyDescent="0.2">
      <c r="A62" t="s">
        <v>100</v>
      </c>
      <c r="B62" t="s">
        <v>41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</row>
    <row r="63" spans="1:39" x14ac:dyDescent="0.2">
      <c r="A63" t="s">
        <v>101</v>
      </c>
      <c r="B63" t="s">
        <v>41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0</v>
      </c>
      <c r="V63">
        <v>2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</row>
    <row r="64" spans="1:39" x14ac:dyDescent="0.2">
      <c r="A64" t="s">
        <v>102</v>
      </c>
      <c r="B64" t="s">
        <v>41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</row>
    <row r="65" spans="1:39" x14ac:dyDescent="0.2">
      <c r="A65" t="s">
        <v>103</v>
      </c>
      <c r="B65" t="s">
        <v>41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</row>
    <row r="66" spans="1:39" x14ac:dyDescent="0.2">
      <c r="A66" t="s">
        <v>104</v>
      </c>
      <c r="B66" t="s">
        <v>41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</row>
    <row r="67" spans="1:39" x14ac:dyDescent="0.2">
      <c r="A67" t="s">
        <v>105</v>
      </c>
      <c r="B67" t="s">
        <v>41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</row>
    <row r="68" spans="1:39" x14ac:dyDescent="0.2">
      <c r="A68" t="s">
        <v>106</v>
      </c>
      <c r="B68" t="s">
        <v>41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1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</row>
    <row r="69" spans="1:39" x14ac:dyDescent="0.2">
      <c r="A69" t="s">
        <v>107</v>
      </c>
      <c r="B69" t="s">
        <v>41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</row>
    <row r="70" spans="1:39" x14ac:dyDescent="0.2">
      <c r="A70" t="s">
        <v>108</v>
      </c>
      <c r="B70" t="s">
        <v>41</v>
      </c>
      <c r="C7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</row>
    <row r="71" spans="1:39" x14ac:dyDescent="0.2">
      <c r="A71" t="s">
        <v>109</v>
      </c>
      <c r="B71" t="s">
        <v>41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</row>
    <row r="72" spans="1:39" x14ac:dyDescent="0.2">
      <c r="A72" t="s">
        <v>110</v>
      </c>
      <c r="B72" t="s">
        <v>41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</row>
    <row r="73" spans="1:39" x14ac:dyDescent="0.2">
      <c r="A73" t="s">
        <v>111</v>
      </c>
      <c r="B73" t="s">
        <v>41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2">
      <c r="A74" t="s">
        <v>112</v>
      </c>
      <c r="B74" t="s">
        <v>41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</row>
    <row r="75" spans="1:39" x14ac:dyDescent="0.2">
      <c r="A75" t="s">
        <v>113</v>
      </c>
      <c r="B75" t="s">
        <v>41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</row>
    <row r="76" spans="1:39" x14ac:dyDescent="0.2">
      <c r="A76" t="s">
        <v>114</v>
      </c>
      <c r="B76" t="s">
        <v>41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</row>
    <row r="77" spans="1:39" x14ac:dyDescent="0.2">
      <c r="A77" t="s">
        <v>115</v>
      </c>
      <c r="B77" t="s">
        <v>41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0</v>
      </c>
      <c r="S77">
        <v>1</v>
      </c>
      <c r="T77">
        <v>0</v>
      </c>
      <c r="U77">
        <v>0</v>
      </c>
      <c r="V77">
        <v>1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</row>
    <row r="78" spans="1:39" x14ac:dyDescent="0.2">
      <c r="A78" t="s">
        <v>116</v>
      </c>
      <c r="B78" t="s">
        <v>41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</row>
    <row r="79" spans="1:39" x14ac:dyDescent="0.2">
      <c r="A79" t="s">
        <v>117</v>
      </c>
      <c r="B79" t="s">
        <v>41</v>
      </c>
      <c r="C79">
        <v>0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</row>
    <row r="80" spans="1:39" x14ac:dyDescent="0.2">
      <c r="A80" t="s">
        <v>118</v>
      </c>
      <c r="B80" t="s">
        <v>41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</row>
    <row r="81" spans="1:39" x14ac:dyDescent="0.2">
      <c r="A81" t="s">
        <v>119</v>
      </c>
      <c r="B81" t="s">
        <v>41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</row>
    <row r="82" spans="1:39" x14ac:dyDescent="0.2">
      <c r="A82" t="s">
        <v>120</v>
      </c>
      <c r="B82" t="s">
        <v>41</v>
      </c>
      <c r="C82">
        <v>0</v>
      </c>
      <c r="D82">
        <v>0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1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1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1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1</v>
      </c>
      <c r="AL82">
        <v>0</v>
      </c>
      <c r="AM82">
        <v>0</v>
      </c>
    </row>
    <row r="83" spans="1:39" x14ac:dyDescent="0.2">
      <c r="A83" t="s">
        <v>121</v>
      </c>
      <c r="B83" t="s">
        <v>41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</row>
    <row r="84" spans="1:39" x14ac:dyDescent="0.2">
      <c r="A84" t="s">
        <v>122</v>
      </c>
      <c r="B84" t="s">
        <v>41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</row>
    <row r="85" spans="1:39" x14ac:dyDescent="0.2">
      <c r="A85" t="s">
        <v>123</v>
      </c>
      <c r="B85" t="s">
        <v>41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0</v>
      </c>
      <c r="Q85">
        <v>0</v>
      </c>
      <c r="R85">
        <v>0</v>
      </c>
      <c r="S85">
        <v>1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</row>
    <row r="86" spans="1:39" x14ac:dyDescent="0.2">
      <c r="A86" t="s">
        <v>124</v>
      </c>
      <c r="B86" t="s">
        <v>41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</row>
    <row r="87" spans="1:39" x14ac:dyDescent="0.2">
      <c r="A87" t="s">
        <v>125</v>
      </c>
      <c r="B87" t="s">
        <v>41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1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1</v>
      </c>
      <c r="AM87">
        <v>0</v>
      </c>
    </row>
    <row r="88" spans="1:39" x14ac:dyDescent="0.2">
      <c r="A88" t="s">
        <v>126</v>
      </c>
      <c r="B88" t="s">
        <v>41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</row>
    <row r="89" spans="1:39" x14ac:dyDescent="0.2">
      <c r="A89" t="s">
        <v>127</v>
      </c>
      <c r="B89" t="s">
        <v>41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1</v>
      </c>
      <c r="O89">
        <v>0</v>
      </c>
      <c r="P89">
        <v>0</v>
      </c>
      <c r="Q89">
        <v>0</v>
      </c>
      <c r="R89">
        <v>0</v>
      </c>
      <c r="S89">
        <v>1</v>
      </c>
      <c r="T89">
        <v>0</v>
      </c>
      <c r="U89">
        <v>0</v>
      </c>
      <c r="V89">
        <v>0</v>
      </c>
      <c r="W89">
        <v>1</v>
      </c>
      <c r="X89">
        <v>0</v>
      </c>
      <c r="Y89">
        <v>1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1</v>
      </c>
      <c r="AM89">
        <v>0</v>
      </c>
    </row>
    <row r="90" spans="1:39" x14ac:dyDescent="0.2">
      <c r="A90" t="s">
        <v>128</v>
      </c>
      <c r="B90" t="s">
        <v>41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</row>
    <row r="91" spans="1:39" x14ac:dyDescent="0.2">
      <c r="A91" t="s">
        <v>129</v>
      </c>
      <c r="B91" t="s">
        <v>41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</row>
    <row r="92" spans="1:39" x14ac:dyDescent="0.2">
      <c r="A92" t="s">
        <v>130</v>
      </c>
      <c r="B92" t="s">
        <v>41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N92">
        <v>0</v>
      </c>
      <c r="O92">
        <v>1</v>
      </c>
      <c r="P92">
        <v>0</v>
      </c>
      <c r="Q92">
        <v>1</v>
      </c>
      <c r="R92">
        <v>0</v>
      </c>
      <c r="S92">
        <v>1</v>
      </c>
      <c r="T92">
        <v>0</v>
      </c>
      <c r="U92">
        <v>0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</row>
    <row r="93" spans="1:39" x14ac:dyDescent="0.2">
      <c r="A93" t="s">
        <v>131</v>
      </c>
      <c r="B93" t="s">
        <v>41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2</v>
      </c>
      <c r="S93">
        <v>0</v>
      </c>
      <c r="T93">
        <v>0</v>
      </c>
      <c r="U93">
        <v>0</v>
      </c>
      <c r="V93">
        <v>1</v>
      </c>
      <c r="W93">
        <v>0</v>
      </c>
      <c r="X93">
        <v>0</v>
      </c>
      <c r="Y93">
        <v>0</v>
      </c>
      <c r="Z93">
        <v>1</v>
      </c>
      <c r="AA93">
        <v>1</v>
      </c>
      <c r="AB93">
        <v>0</v>
      </c>
      <c r="AC93">
        <v>0</v>
      </c>
      <c r="AD93">
        <v>1</v>
      </c>
      <c r="AE93">
        <v>0</v>
      </c>
      <c r="AF93">
        <v>1</v>
      </c>
      <c r="AG93">
        <v>1</v>
      </c>
      <c r="AH93">
        <v>1</v>
      </c>
      <c r="AI93">
        <v>1</v>
      </c>
      <c r="AJ93">
        <v>0</v>
      </c>
      <c r="AK93">
        <v>1</v>
      </c>
      <c r="AL93">
        <v>0</v>
      </c>
      <c r="AM93">
        <v>0</v>
      </c>
    </row>
    <row r="94" spans="1:39" x14ac:dyDescent="0.2">
      <c r="A94" t="s">
        <v>132</v>
      </c>
      <c r="B94" t="s">
        <v>41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</row>
    <row r="95" spans="1:39" x14ac:dyDescent="0.2">
      <c r="A95" t="s">
        <v>133</v>
      </c>
      <c r="B95" t="s">
        <v>41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1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1</v>
      </c>
      <c r="AH95">
        <v>0</v>
      </c>
      <c r="AI95">
        <v>1</v>
      </c>
      <c r="AJ95">
        <v>0</v>
      </c>
      <c r="AK95">
        <v>0</v>
      </c>
      <c r="AL95">
        <v>1</v>
      </c>
      <c r="AM95">
        <v>0</v>
      </c>
    </row>
    <row r="96" spans="1:39" x14ac:dyDescent="0.2">
      <c r="A96" t="s">
        <v>134</v>
      </c>
      <c r="B96" t="s">
        <v>41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2">
      <c r="A97" t="s">
        <v>135</v>
      </c>
      <c r="B97" t="s">
        <v>41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</row>
    <row r="98" spans="1:39" x14ac:dyDescent="0.2">
      <c r="A98" t="s">
        <v>136</v>
      </c>
      <c r="B98" t="s">
        <v>41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</row>
    <row r="99" spans="1:39" x14ac:dyDescent="0.2">
      <c r="A99" t="s">
        <v>137</v>
      </c>
      <c r="B99" t="s">
        <v>41</v>
      </c>
      <c r="C99">
        <v>0</v>
      </c>
      <c r="D99">
        <v>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>
        <v>0</v>
      </c>
      <c r="L99">
        <v>0</v>
      </c>
      <c r="M99">
        <v>0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</row>
    <row r="100" spans="1:39" x14ac:dyDescent="0.2">
      <c r="A100" t="s">
        <v>138</v>
      </c>
      <c r="B100" t="s">
        <v>41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1</v>
      </c>
      <c r="P100">
        <v>0</v>
      </c>
      <c r="Q100">
        <v>1</v>
      </c>
      <c r="R100">
        <v>1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</row>
    <row r="101" spans="1:39" x14ac:dyDescent="0.2">
      <c r="A101" t="s">
        <v>139</v>
      </c>
      <c r="B101" t="s">
        <v>41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</row>
    <row r="102" spans="1:39" x14ac:dyDescent="0.2">
      <c r="A102" t="s">
        <v>140</v>
      </c>
      <c r="B102" t="s">
        <v>41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0</v>
      </c>
      <c r="AK102">
        <v>0</v>
      </c>
      <c r="AL102">
        <v>0</v>
      </c>
      <c r="AM102">
        <v>0</v>
      </c>
    </row>
    <row r="103" spans="1:39" x14ac:dyDescent="0.2">
      <c r="A103" t="s">
        <v>141</v>
      </c>
      <c r="B103" t="s">
        <v>41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">
      <c r="A104" t="s">
        <v>142</v>
      </c>
      <c r="B104" t="s">
        <v>41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</row>
    <row r="105" spans="1:39" x14ac:dyDescent="0.2">
      <c r="A105" t="s">
        <v>143</v>
      </c>
      <c r="B105" t="s">
        <v>41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0</v>
      </c>
      <c r="Q105">
        <v>0</v>
      </c>
      <c r="R105">
        <v>0</v>
      </c>
      <c r="S105">
        <v>3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</row>
    <row r="106" spans="1:39" x14ac:dyDescent="0.2">
      <c r="A106" t="s">
        <v>144</v>
      </c>
      <c r="B106" t="s">
        <v>41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</row>
    <row r="107" spans="1:39" x14ac:dyDescent="0.2">
      <c r="A107" t="s">
        <v>145</v>
      </c>
      <c r="B107" t="s">
        <v>41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</row>
    <row r="108" spans="1:39" x14ac:dyDescent="0.2">
      <c r="A108" t="s">
        <v>146</v>
      </c>
      <c r="B108" t="s">
        <v>41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2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</row>
    <row r="109" spans="1:39" x14ac:dyDescent="0.2">
      <c r="A109" t="s">
        <v>147</v>
      </c>
      <c r="B109" t="s">
        <v>41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</row>
    <row r="110" spans="1:39" x14ac:dyDescent="0.2">
      <c r="A110" t="s">
        <v>148</v>
      </c>
      <c r="B110" t="s">
        <v>41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1</v>
      </c>
      <c r="P110">
        <v>1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</row>
    <row r="111" spans="1:39" x14ac:dyDescent="0.2">
      <c r="A111" t="s">
        <v>149</v>
      </c>
      <c r="B111" t="s">
        <v>41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</row>
    <row r="112" spans="1:39" x14ac:dyDescent="0.2">
      <c r="A112" t="s">
        <v>150</v>
      </c>
      <c r="B112" t="s">
        <v>41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1</v>
      </c>
      <c r="AB112">
        <v>0</v>
      </c>
      <c r="AC112">
        <v>1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1</v>
      </c>
      <c r="AK112">
        <v>0</v>
      </c>
      <c r="AL112">
        <v>1</v>
      </c>
      <c r="AM112">
        <v>0</v>
      </c>
    </row>
    <row r="113" spans="1:39" x14ac:dyDescent="0.2">
      <c r="A113" t="s">
        <v>151</v>
      </c>
      <c r="B113" t="s">
        <v>41</v>
      </c>
      <c r="C113">
        <v>0</v>
      </c>
      <c r="D113">
        <v>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">
      <c r="A114" t="s">
        <v>152</v>
      </c>
      <c r="B114" t="s">
        <v>41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2">
      <c r="A115" t="s">
        <v>153</v>
      </c>
      <c r="B115" t="s">
        <v>41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2</v>
      </c>
      <c r="AM115">
        <v>0</v>
      </c>
    </row>
    <row r="116" spans="1:39" x14ac:dyDescent="0.2">
      <c r="A116" t="s">
        <v>154</v>
      </c>
      <c r="B116" t="s">
        <v>41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</row>
    <row r="117" spans="1:39" x14ac:dyDescent="0.2">
      <c r="A117" t="s">
        <v>155</v>
      </c>
      <c r="B117" t="s">
        <v>41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</row>
    <row r="118" spans="1:39" x14ac:dyDescent="0.2">
      <c r="A118" t="s">
        <v>156</v>
      </c>
      <c r="B118" t="s">
        <v>41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</row>
    <row r="119" spans="1:39" x14ac:dyDescent="0.2">
      <c r="A119" t="s">
        <v>157</v>
      </c>
      <c r="B119" t="s">
        <v>41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1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2">
      <c r="A120" t="s">
        <v>158</v>
      </c>
      <c r="B120" t="s">
        <v>41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</row>
    <row r="121" spans="1:39" x14ac:dyDescent="0.2">
      <c r="A121" t="s">
        <v>159</v>
      </c>
      <c r="B121" t="s">
        <v>41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</row>
    <row r="122" spans="1:39" x14ac:dyDescent="0.2">
      <c r="A122" t="s">
        <v>160</v>
      </c>
      <c r="B122" t="s">
        <v>41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1</v>
      </c>
      <c r="AM122">
        <v>0</v>
      </c>
    </row>
    <row r="123" spans="1:39" x14ac:dyDescent="0.2">
      <c r="A123" t="s">
        <v>161</v>
      </c>
      <c r="B123" t="s">
        <v>41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1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1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</row>
    <row r="124" spans="1:39" x14ac:dyDescent="0.2">
      <c r="A124" t="s">
        <v>162</v>
      </c>
      <c r="B124" t="s">
        <v>41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1</v>
      </c>
      <c r="AM124">
        <v>0</v>
      </c>
    </row>
    <row r="125" spans="1:39" x14ac:dyDescent="0.2">
      <c r="A125" t="s">
        <v>163</v>
      </c>
      <c r="B125" t="s">
        <v>41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</row>
    <row r="126" spans="1:39" x14ac:dyDescent="0.2">
      <c r="A126" t="s">
        <v>164</v>
      </c>
      <c r="B126" t="s">
        <v>41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1</v>
      </c>
      <c r="AM126">
        <v>0</v>
      </c>
    </row>
    <row r="127" spans="1:39" x14ac:dyDescent="0.2">
      <c r="A127" t="s">
        <v>165</v>
      </c>
      <c r="B127" t="s">
        <v>41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0</v>
      </c>
      <c r="AL127">
        <v>0</v>
      </c>
      <c r="AM127">
        <v>0</v>
      </c>
    </row>
    <row r="128" spans="1:39" x14ac:dyDescent="0.2">
      <c r="A128" t="s">
        <v>166</v>
      </c>
      <c r="B128" t="s">
        <v>41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</row>
    <row r="129" spans="1:39" x14ac:dyDescent="0.2">
      <c r="A129" t="s">
        <v>167</v>
      </c>
      <c r="B129" t="s">
        <v>41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</row>
    <row r="130" spans="1:39" x14ac:dyDescent="0.2">
      <c r="A130" t="s">
        <v>168</v>
      </c>
      <c r="B130" t="s">
        <v>41</v>
      </c>
      <c r="C130">
        <v>0</v>
      </c>
      <c r="D130">
        <v>0</v>
      </c>
      <c r="E130">
        <v>0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</row>
    <row r="131" spans="1:39" x14ac:dyDescent="0.2">
      <c r="A131" t="s">
        <v>169</v>
      </c>
      <c r="B131" t="s">
        <v>41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1</v>
      </c>
      <c r="AD131">
        <v>0</v>
      </c>
      <c r="AE131">
        <v>1</v>
      </c>
      <c r="AF131">
        <v>1</v>
      </c>
      <c r="AG131">
        <v>1</v>
      </c>
      <c r="AH131">
        <v>0</v>
      </c>
      <c r="AI131">
        <v>1</v>
      </c>
      <c r="AJ131">
        <v>0</v>
      </c>
      <c r="AK131">
        <v>1</v>
      </c>
      <c r="AL131">
        <v>1</v>
      </c>
      <c r="AM131">
        <v>0</v>
      </c>
    </row>
    <row r="132" spans="1:39" x14ac:dyDescent="0.2">
      <c r="A132" t="s">
        <v>170</v>
      </c>
      <c r="B132" t="s">
        <v>41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0</v>
      </c>
    </row>
    <row r="133" spans="1:39" x14ac:dyDescent="0.2">
      <c r="A133" t="s">
        <v>171</v>
      </c>
      <c r="B133" t="s">
        <v>41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</row>
    <row r="134" spans="1:39" x14ac:dyDescent="0.2">
      <c r="A134" t="s">
        <v>172</v>
      </c>
      <c r="B134" t="s">
        <v>41</v>
      </c>
      <c r="C134">
        <v>0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0</v>
      </c>
      <c r="AL134">
        <v>0</v>
      </c>
      <c r="AM134">
        <v>0</v>
      </c>
    </row>
    <row r="135" spans="1:39" x14ac:dyDescent="0.2">
      <c r="A135" t="s">
        <v>173</v>
      </c>
      <c r="B135" t="s">
        <v>41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1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</row>
    <row r="136" spans="1:39" x14ac:dyDescent="0.2">
      <c r="A136" t="s">
        <v>174</v>
      </c>
      <c r="B136" t="s">
        <v>41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x14ac:dyDescent="0.2">
      <c r="A137" t="s">
        <v>175</v>
      </c>
      <c r="B137" t="s">
        <v>41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0</v>
      </c>
      <c r="W137">
        <v>0</v>
      </c>
      <c r="X137">
        <v>0</v>
      </c>
      <c r="Y137">
        <v>1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</row>
    <row r="138" spans="1:39" x14ac:dyDescent="0.2">
      <c r="A138" t="s">
        <v>176</v>
      </c>
      <c r="B138" t="s">
        <v>41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x14ac:dyDescent="0.2">
      <c r="A139" t="s">
        <v>177</v>
      </c>
      <c r="B139" t="s">
        <v>41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">
      <c r="A140" t="s">
        <v>178</v>
      </c>
      <c r="B140" t="s">
        <v>41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1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1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</row>
    <row r="141" spans="1:39" x14ac:dyDescent="0.2">
      <c r="A141" t="s">
        <v>179</v>
      </c>
      <c r="B141" t="s">
        <v>41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</row>
    <row r="142" spans="1:39" x14ac:dyDescent="0.2">
      <c r="A142" t="s">
        <v>180</v>
      </c>
      <c r="B142" t="s">
        <v>41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0</v>
      </c>
    </row>
    <row r="143" spans="1:39" x14ac:dyDescent="0.2">
      <c r="A143" t="s">
        <v>181</v>
      </c>
      <c r="B143" t="s">
        <v>41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1</v>
      </c>
      <c r="AM143">
        <v>0</v>
      </c>
    </row>
    <row r="144" spans="1:39" x14ac:dyDescent="0.2">
      <c r="A144" t="s">
        <v>182</v>
      </c>
      <c r="B144" t="s">
        <v>41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1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">
      <c r="A145" t="s">
        <v>183</v>
      </c>
      <c r="B145" t="s">
        <v>41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0</v>
      </c>
      <c r="AK145">
        <v>0</v>
      </c>
      <c r="AL145">
        <v>0</v>
      </c>
      <c r="AM145">
        <v>0</v>
      </c>
    </row>
    <row r="146" spans="1:39" x14ac:dyDescent="0.2">
      <c r="A146" t="s">
        <v>184</v>
      </c>
      <c r="B146" t="s">
        <v>41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1</v>
      </c>
      <c r="O146">
        <v>0</v>
      </c>
      <c r="P146">
        <v>1</v>
      </c>
      <c r="Q146">
        <v>0</v>
      </c>
      <c r="R146">
        <v>1</v>
      </c>
      <c r="S146">
        <v>0</v>
      </c>
      <c r="T146">
        <v>1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</row>
    <row r="147" spans="1:39" x14ac:dyDescent="0.2">
      <c r="A147" t="s">
        <v>185</v>
      </c>
      <c r="B147" t="s">
        <v>41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0</v>
      </c>
      <c r="AB147">
        <v>1</v>
      </c>
      <c r="AC147">
        <v>1</v>
      </c>
      <c r="AD147">
        <v>0</v>
      </c>
      <c r="AE147">
        <v>0</v>
      </c>
      <c r="AF147">
        <v>0</v>
      </c>
      <c r="AG147">
        <v>1</v>
      </c>
      <c r="AH147">
        <v>1</v>
      </c>
      <c r="AI147">
        <v>0</v>
      </c>
      <c r="AJ147">
        <v>0</v>
      </c>
      <c r="AK147">
        <v>0</v>
      </c>
      <c r="AL147">
        <v>1</v>
      </c>
      <c r="AM147">
        <v>0</v>
      </c>
    </row>
    <row r="148" spans="1:39" x14ac:dyDescent="0.2">
      <c r="A148" t="s">
        <v>186</v>
      </c>
      <c r="B148" t="s">
        <v>41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v>0</v>
      </c>
      <c r="AM148">
        <v>0</v>
      </c>
    </row>
    <row r="149" spans="1:39" x14ac:dyDescent="0.2">
      <c r="A149" t="s">
        <v>187</v>
      </c>
      <c r="B149" t="s">
        <v>41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</row>
    <row r="150" spans="1:39" x14ac:dyDescent="0.2">
      <c r="A150" t="s">
        <v>188</v>
      </c>
      <c r="B150" t="s">
        <v>41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</row>
    <row r="151" spans="1:39" x14ac:dyDescent="0.2">
      <c r="A151" t="s">
        <v>189</v>
      </c>
      <c r="B151" t="s">
        <v>41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</row>
    <row r="152" spans="1:39" x14ac:dyDescent="0.2">
      <c r="A152" t="s">
        <v>190</v>
      </c>
      <c r="B152" t="s">
        <v>41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</row>
    <row r="153" spans="1:39" x14ac:dyDescent="0.2">
      <c r="A153" t="s">
        <v>191</v>
      </c>
      <c r="B153" t="s">
        <v>41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</row>
    <row r="154" spans="1:39" x14ac:dyDescent="0.2">
      <c r="A154" t="s">
        <v>192</v>
      </c>
      <c r="B154" t="s">
        <v>41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2">
      <c r="A155" t="s">
        <v>193</v>
      </c>
      <c r="B155" t="s">
        <v>41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</row>
    <row r="156" spans="1:39" x14ac:dyDescent="0.2">
      <c r="A156" t="s">
        <v>194</v>
      </c>
      <c r="B156" t="s">
        <v>41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1</v>
      </c>
      <c r="AL156">
        <v>0</v>
      </c>
      <c r="AM156">
        <v>0</v>
      </c>
    </row>
    <row r="157" spans="1:39" x14ac:dyDescent="0.2">
      <c r="A157" t="s">
        <v>195</v>
      </c>
      <c r="B157" t="s">
        <v>41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2">
      <c r="A158" t="s">
        <v>196</v>
      </c>
      <c r="B158" t="s">
        <v>41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2">
      <c r="A159" t="s">
        <v>197</v>
      </c>
      <c r="B159" t="s">
        <v>41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">
      <c r="A160" t="s">
        <v>198</v>
      </c>
      <c r="B160" t="s">
        <v>41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1</v>
      </c>
      <c r="AK160">
        <v>0</v>
      </c>
      <c r="AL160">
        <v>0</v>
      </c>
      <c r="AM160">
        <v>0</v>
      </c>
    </row>
    <row r="161" spans="1:39" x14ac:dyDescent="0.2">
      <c r="A161" t="s">
        <v>199</v>
      </c>
      <c r="B161" t="s">
        <v>41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</row>
    <row r="162" spans="1:39" x14ac:dyDescent="0.2">
      <c r="A162" t="s">
        <v>200</v>
      </c>
      <c r="B162" t="s">
        <v>41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2">
      <c r="A163" t="s">
        <v>201</v>
      </c>
      <c r="B163" t="s">
        <v>41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</row>
    <row r="164" spans="1:39" x14ac:dyDescent="0.2">
      <c r="A164" t="s">
        <v>202</v>
      </c>
      <c r="B164" t="s">
        <v>41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</row>
    <row r="165" spans="1:39" x14ac:dyDescent="0.2">
      <c r="A165" t="s">
        <v>203</v>
      </c>
      <c r="B165" t="s">
        <v>41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</v>
      </c>
      <c r="N165">
        <v>0</v>
      </c>
      <c r="O165">
        <v>1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</row>
    <row r="166" spans="1:39" x14ac:dyDescent="0.2">
      <c r="A166" t="s">
        <v>204</v>
      </c>
      <c r="B166" t="s">
        <v>41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0</v>
      </c>
      <c r="AM166">
        <v>0</v>
      </c>
    </row>
    <row r="167" spans="1:39" x14ac:dyDescent="0.2">
      <c r="A167" t="s">
        <v>205</v>
      </c>
      <c r="B167" t="s">
        <v>41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</row>
    <row r="168" spans="1:39" x14ac:dyDescent="0.2">
      <c r="A168" t="s">
        <v>206</v>
      </c>
      <c r="B168" t="s">
        <v>41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</row>
    <row r="169" spans="1:39" x14ac:dyDescent="0.2">
      <c r="A169" t="s">
        <v>207</v>
      </c>
      <c r="B169" t="s">
        <v>41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</row>
    <row r="170" spans="1:39" x14ac:dyDescent="0.2">
      <c r="A170" t="s">
        <v>208</v>
      </c>
      <c r="B170" t="s">
        <v>41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0</v>
      </c>
      <c r="N170">
        <v>1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</v>
      </c>
      <c r="W170">
        <v>0</v>
      </c>
      <c r="X170">
        <v>0</v>
      </c>
      <c r="Y170">
        <v>1</v>
      </c>
      <c r="Z170">
        <v>0</v>
      </c>
      <c r="AA170">
        <v>0</v>
      </c>
      <c r="AB170">
        <v>1</v>
      </c>
      <c r="AC170">
        <v>0</v>
      </c>
      <c r="AD170">
        <v>1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</row>
    <row r="171" spans="1:39" x14ac:dyDescent="0.2">
      <c r="A171" t="s">
        <v>209</v>
      </c>
      <c r="B171" t="s">
        <v>41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1</v>
      </c>
      <c r="AM171">
        <v>0</v>
      </c>
    </row>
    <row r="172" spans="1:39" x14ac:dyDescent="0.2">
      <c r="A172" t="s">
        <v>210</v>
      </c>
      <c r="B172" t="s">
        <v>41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</row>
    <row r="173" spans="1:39" x14ac:dyDescent="0.2">
      <c r="A173" t="s">
        <v>211</v>
      </c>
      <c r="B173" t="s">
        <v>41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2">
      <c r="A174" t="s">
        <v>212</v>
      </c>
      <c r="B174" t="s">
        <v>41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2">
      <c r="A175" t="s">
        <v>213</v>
      </c>
      <c r="B175" t="s">
        <v>41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1</v>
      </c>
      <c r="AM175">
        <v>0</v>
      </c>
    </row>
    <row r="176" spans="1:39" x14ac:dyDescent="0.2">
      <c r="A176" t="s">
        <v>214</v>
      </c>
      <c r="B176" t="s">
        <v>41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</row>
    <row r="177" spans="1:39" x14ac:dyDescent="0.2">
      <c r="A177" t="s">
        <v>215</v>
      </c>
      <c r="B177" t="s">
        <v>41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1</v>
      </c>
      <c r="AK177">
        <v>0</v>
      </c>
      <c r="AL177">
        <v>0</v>
      </c>
      <c r="AM177">
        <v>0</v>
      </c>
    </row>
    <row r="178" spans="1:39" x14ac:dyDescent="0.2">
      <c r="A178" t="s">
        <v>216</v>
      </c>
      <c r="B178" t="s">
        <v>41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</row>
    <row r="179" spans="1:39" x14ac:dyDescent="0.2">
      <c r="A179" t="s">
        <v>217</v>
      </c>
      <c r="B179" t="s">
        <v>41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1</v>
      </c>
      <c r="AJ179">
        <v>0</v>
      </c>
      <c r="AK179">
        <v>0</v>
      </c>
      <c r="AL179">
        <v>0</v>
      </c>
      <c r="AM179">
        <v>0</v>
      </c>
    </row>
    <row r="180" spans="1:39" x14ac:dyDescent="0.2">
      <c r="A180" t="s">
        <v>218</v>
      </c>
      <c r="B180" t="s">
        <v>41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0</v>
      </c>
      <c r="AM180">
        <v>0</v>
      </c>
    </row>
    <row r="181" spans="1:39" x14ac:dyDescent="0.2">
      <c r="A181" t="s">
        <v>219</v>
      </c>
      <c r="B181" t="s">
        <v>41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</row>
    <row r="182" spans="1:39" x14ac:dyDescent="0.2">
      <c r="A182" t="s">
        <v>220</v>
      </c>
      <c r="B182" t="s">
        <v>41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</row>
    <row r="183" spans="1:39" x14ac:dyDescent="0.2">
      <c r="A183" t="s">
        <v>221</v>
      </c>
      <c r="B183" t="s">
        <v>41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</row>
    <row r="184" spans="1:39" x14ac:dyDescent="0.2">
      <c r="A184" t="s">
        <v>222</v>
      </c>
      <c r="B184" t="s">
        <v>41</v>
      </c>
      <c r="C184">
        <v>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0</v>
      </c>
    </row>
    <row r="185" spans="1:39" x14ac:dyDescent="0.2">
      <c r="A185" t="s">
        <v>223</v>
      </c>
      <c r="B185" t="s">
        <v>41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1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1</v>
      </c>
      <c r="AM185">
        <v>0</v>
      </c>
    </row>
    <row r="186" spans="1:39" x14ac:dyDescent="0.2">
      <c r="A186" t="s">
        <v>224</v>
      </c>
      <c r="B186" t="s">
        <v>41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</row>
    <row r="187" spans="1:39" x14ac:dyDescent="0.2">
      <c r="A187" t="s">
        <v>225</v>
      </c>
      <c r="B187" t="s">
        <v>41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</row>
    <row r="188" spans="1:39" x14ac:dyDescent="0.2">
      <c r="A188" t="s">
        <v>226</v>
      </c>
      <c r="B188" t="s">
        <v>41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</row>
    <row r="189" spans="1:39" x14ac:dyDescent="0.2">
      <c r="A189" t="s">
        <v>227</v>
      </c>
      <c r="B189" t="s">
        <v>41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0</v>
      </c>
      <c r="AM189">
        <v>0</v>
      </c>
    </row>
    <row r="190" spans="1:39" x14ac:dyDescent="0.2">
      <c r="A190" t="s">
        <v>228</v>
      </c>
      <c r="B190" t="s">
        <v>41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</row>
    <row r="191" spans="1:39" x14ac:dyDescent="0.2">
      <c r="A191" t="s">
        <v>229</v>
      </c>
      <c r="B191" t="s">
        <v>41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2">
      <c r="A192" t="s">
        <v>230</v>
      </c>
      <c r="B192" t="s">
        <v>41</v>
      </c>
      <c r="C192">
        <v>0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0</v>
      </c>
    </row>
  </sheetData>
  <pageMargins left="0.7" right="0.7" top="0.75" bottom="0.75" header="0.3" footer="0.3"/>
  <pageSetup orientation="portrait" r:id="rId1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E3C05-62EF-49EC-86C5-3672465072CE}">
  <sheetPr>
    <tabColor theme="3" tint="0.59999389629810485"/>
  </sheetPr>
  <dimension ref="A1:AY193"/>
  <sheetViews>
    <sheetView showGridLines="0" tabSelected="1" zoomScale="85" zoomScaleNormal="85" workbookViewId="0">
      <pane xSplit="5" ySplit="3" topLeftCell="AP153" activePane="bottomRight" state="frozen"/>
      <selection pane="topRight" activeCell="F1" sqref="F1"/>
      <selection pane="bottomLeft" activeCell="A4" sqref="A4"/>
      <selection pane="bottomRight" activeCell="AT194" sqref="AT194"/>
    </sheetView>
  </sheetViews>
  <sheetFormatPr baseColWidth="10" defaultColWidth="8.83203125" defaultRowHeight="15" x14ac:dyDescent="0.2"/>
  <cols>
    <col min="1" max="1" width="4" style="3" customWidth="1"/>
    <col min="2" max="2" width="10.6640625" bestFit="1" customWidth="1"/>
    <col min="3" max="3" width="24.5" bestFit="1" customWidth="1"/>
    <col min="4" max="4" width="19.5" hidden="1" customWidth="1"/>
    <col min="5" max="5" width="6.5" style="3" hidden="1" customWidth="1"/>
    <col min="6" max="41" width="8.83203125" style="3" hidden="1" customWidth="1"/>
    <col min="42" max="43" width="8.83203125" style="3" customWidth="1"/>
    <col min="44" max="45" width="9.1640625" style="3"/>
    <col min="46" max="46" width="8.83203125" style="3"/>
    <col min="51" max="51" width="200.5" bestFit="1" customWidth="1"/>
  </cols>
  <sheetData>
    <row r="1" spans="1:51" x14ac:dyDescent="0.2">
      <c r="A1" s="33"/>
      <c r="B1" s="33"/>
      <c r="E1" s="8"/>
      <c r="H1" s="8"/>
      <c r="K1" s="8"/>
      <c r="M1" s="8"/>
      <c r="N1" s="8"/>
      <c r="P1" s="8"/>
      <c r="Q1" s="8"/>
      <c r="R1" s="8"/>
      <c r="T1" s="8"/>
      <c r="U1" s="8"/>
      <c r="W1" s="8"/>
      <c r="Z1" s="8"/>
      <c r="AB1" s="8"/>
      <c r="AC1" s="8"/>
      <c r="AE1" s="8"/>
      <c r="AF1" s="8"/>
      <c r="AG1" s="8"/>
      <c r="AI1" s="8"/>
      <c r="AJ1" s="8"/>
      <c r="AL1" s="8"/>
      <c r="AM1" s="8"/>
      <c r="AN1" s="3" t="s">
        <v>231</v>
      </c>
    </row>
    <row r="2" spans="1:51" x14ac:dyDescent="0.2">
      <c r="A2" s="14"/>
      <c r="B2" s="11"/>
      <c r="C2" s="12">
        <f>+B2+1</f>
        <v>1</v>
      </c>
      <c r="D2" s="12">
        <f t="shared" ref="D2:AL2" si="0">+C2+1</f>
        <v>2</v>
      </c>
      <c r="E2" s="12">
        <f t="shared" si="0"/>
        <v>3</v>
      </c>
      <c r="F2" s="12">
        <f t="shared" si="0"/>
        <v>4</v>
      </c>
      <c r="G2" s="12">
        <f t="shared" si="0"/>
        <v>5</v>
      </c>
      <c r="H2" s="12">
        <f t="shared" si="0"/>
        <v>6</v>
      </c>
      <c r="I2" s="12">
        <f t="shared" si="0"/>
        <v>7</v>
      </c>
      <c r="J2" s="12">
        <f t="shared" si="0"/>
        <v>8</v>
      </c>
      <c r="K2" s="12">
        <f t="shared" si="0"/>
        <v>9</v>
      </c>
      <c r="L2" s="12">
        <f t="shared" si="0"/>
        <v>10</v>
      </c>
      <c r="M2" s="12">
        <f t="shared" si="0"/>
        <v>11</v>
      </c>
      <c r="N2" s="12">
        <f t="shared" si="0"/>
        <v>12</v>
      </c>
      <c r="O2" s="12">
        <f t="shared" si="0"/>
        <v>13</v>
      </c>
      <c r="P2" s="12">
        <f t="shared" si="0"/>
        <v>14</v>
      </c>
      <c r="Q2" s="12">
        <f t="shared" si="0"/>
        <v>15</v>
      </c>
      <c r="R2" s="12">
        <f t="shared" si="0"/>
        <v>16</v>
      </c>
      <c r="S2" s="12">
        <f t="shared" si="0"/>
        <v>17</v>
      </c>
      <c r="T2" s="12">
        <f t="shared" si="0"/>
        <v>18</v>
      </c>
      <c r="U2" s="12">
        <f t="shared" si="0"/>
        <v>19</v>
      </c>
      <c r="V2" s="12">
        <f t="shared" si="0"/>
        <v>20</v>
      </c>
      <c r="W2" s="12">
        <f t="shared" si="0"/>
        <v>21</v>
      </c>
      <c r="X2" s="12">
        <f t="shared" si="0"/>
        <v>22</v>
      </c>
      <c r="Y2" s="12">
        <f t="shared" si="0"/>
        <v>23</v>
      </c>
      <c r="Z2" s="12">
        <f t="shared" si="0"/>
        <v>24</v>
      </c>
      <c r="AA2" s="12">
        <f t="shared" si="0"/>
        <v>25</v>
      </c>
      <c r="AB2" s="12">
        <f t="shared" si="0"/>
        <v>26</v>
      </c>
      <c r="AC2" s="12">
        <f t="shared" si="0"/>
        <v>27</v>
      </c>
      <c r="AD2" s="12">
        <f t="shared" si="0"/>
        <v>28</v>
      </c>
      <c r="AE2" s="12">
        <f t="shared" si="0"/>
        <v>29</v>
      </c>
      <c r="AF2" s="12">
        <f t="shared" si="0"/>
        <v>30</v>
      </c>
      <c r="AG2" s="12">
        <f t="shared" si="0"/>
        <v>31</v>
      </c>
      <c r="AH2" s="12">
        <f t="shared" si="0"/>
        <v>32</v>
      </c>
      <c r="AI2" s="12">
        <f t="shared" si="0"/>
        <v>33</v>
      </c>
      <c r="AJ2" s="12">
        <f t="shared" si="0"/>
        <v>34</v>
      </c>
      <c r="AK2" s="12">
        <f t="shared" si="0"/>
        <v>35</v>
      </c>
      <c r="AL2" s="12">
        <f t="shared" si="0"/>
        <v>36</v>
      </c>
      <c r="AM2" s="12">
        <f>+AL2+1</f>
        <v>37</v>
      </c>
    </row>
    <row r="3" spans="1:51" s="4" customFormat="1" ht="32" x14ac:dyDescent="0.2">
      <c r="A3" s="5" t="s">
        <v>232</v>
      </c>
      <c r="B3" s="6" t="s">
        <v>233</v>
      </c>
      <c r="C3" s="16" t="s">
        <v>234</v>
      </c>
      <c r="D3" s="6" t="s">
        <v>38</v>
      </c>
      <c r="E3" s="7" t="s">
        <v>235</v>
      </c>
      <c r="F3" s="5" t="s">
        <v>1</v>
      </c>
      <c r="G3" s="5" t="s">
        <v>2</v>
      </c>
      <c r="H3" s="5" t="s">
        <v>3</v>
      </c>
      <c r="I3" s="5" t="s">
        <v>4</v>
      </c>
      <c r="J3" s="5" t="s">
        <v>5</v>
      </c>
      <c r="K3" s="5" t="s">
        <v>6</v>
      </c>
      <c r="L3" s="5" t="s">
        <v>7</v>
      </c>
      <c r="M3" s="5" t="s">
        <v>8</v>
      </c>
      <c r="N3" s="5" t="s">
        <v>9</v>
      </c>
      <c r="O3" s="5" t="s">
        <v>10</v>
      </c>
      <c r="P3" s="5" t="s">
        <v>11</v>
      </c>
      <c r="Q3" s="5" t="s">
        <v>12</v>
      </c>
      <c r="R3" s="5" t="s">
        <v>13</v>
      </c>
      <c r="S3" s="5" t="s">
        <v>14</v>
      </c>
      <c r="T3" s="5" t="s">
        <v>15</v>
      </c>
      <c r="U3" s="5" t="s">
        <v>16</v>
      </c>
      <c r="V3" s="5" t="s">
        <v>17</v>
      </c>
      <c r="W3" s="5" t="s">
        <v>18</v>
      </c>
      <c r="X3" s="5" t="s">
        <v>19</v>
      </c>
      <c r="Y3" s="5" t="s">
        <v>20</v>
      </c>
      <c r="Z3" s="5" t="s">
        <v>21</v>
      </c>
      <c r="AA3" s="5" t="s">
        <v>22</v>
      </c>
      <c r="AB3" s="5" t="s">
        <v>23</v>
      </c>
      <c r="AC3" s="15" t="s">
        <v>24</v>
      </c>
      <c r="AD3" s="5" t="s">
        <v>25</v>
      </c>
      <c r="AE3" s="5" t="s">
        <v>26</v>
      </c>
      <c r="AF3" s="5" t="s">
        <v>27</v>
      </c>
      <c r="AG3" s="5" t="s">
        <v>28</v>
      </c>
      <c r="AH3" s="5" t="s">
        <v>29</v>
      </c>
      <c r="AI3" s="5" t="s">
        <v>30</v>
      </c>
      <c r="AJ3" s="5" t="s">
        <v>31</v>
      </c>
      <c r="AK3" s="5" t="s">
        <v>32</v>
      </c>
      <c r="AL3" s="5" t="s">
        <v>33</v>
      </c>
      <c r="AM3" s="5" t="s">
        <v>34</v>
      </c>
      <c r="AN3" s="15" t="s">
        <v>35</v>
      </c>
      <c r="AO3" s="5" t="s">
        <v>36</v>
      </c>
      <c r="AP3" s="5" t="s">
        <v>236</v>
      </c>
      <c r="AQ3" s="5" t="s">
        <v>237</v>
      </c>
      <c r="AR3" s="5" t="s">
        <v>238</v>
      </c>
      <c r="AS3" s="5" t="s">
        <v>239</v>
      </c>
      <c r="AT3" s="5" t="s">
        <v>498</v>
      </c>
      <c r="AU3" s="27" t="s">
        <v>240</v>
      </c>
      <c r="AV3" s="27" t="s">
        <v>240</v>
      </c>
      <c r="AW3" s="27" t="s">
        <v>240</v>
      </c>
      <c r="AX3" s="27" t="s">
        <v>240</v>
      </c>
      <c r="AY3" s="4" t="s">
        <v>241</v>
      </c>
    </row>
    <row r="4" spans="1:51" x14ac:dyDescent="0.2">
      <c r="A4" s="9">
        <v>1</v>
      </c>
      <c r="B4" s="10" t="s">
        <v>40</v>
      </c>
      <c r="C4" s="17" t="s">
        <v>242</v>
      </c>
      <c r="D4" s="10" t="s">
        <v>243</v>
      </c>
      <c r="E4" s="9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 s="13"/>
      <c r="AP4" s="13"/>
      <c r="AQ4" s="13"/>
      <c r="AR4" s="13"/>
      <c r="AS4" s="13"/>
      <c r="AT4" s="13"/>
      <c r="AU4" s="2"/>
      <c r="AV4" s="2"/>
      <c r="AW4" s="2"/>
      <c r="AX4" s="2"/>
      <c r="AY4" t="str">
        <f>+IF($F4=1,RIGHT(F$3,4)&amp;", ","")&amp;IF($G4=1,RIGHT(G$3,4)&amp;", ","")&amp;IF($H4=1,RIGHT(H$3,4)&amp;", ","")&amp;IF($I4=1,RIGHT(I$3,4)&amp;", ","")&amp;IF($J4=1,RIGHT(J$3,4)&amp;", ","")&amp;IF($K4=1,RIGHT(K$3,4)&amp;", ","")&amp;IF($L4=1,RIGHT(L$3,4)&amp;", ","")&amp;IF($M4=1,RIGHT(M$3,4)&amp;", ","")&amp;IF($N4=1,RIGHT(N$3,4)&amp;", ","")&amp;IF($O4=1,RIGHT(O$3,4)&amp;", ","")&amp;IF($P4=1,RIGHT(P$3,4)&amp;", ","")&amp;IF($Q4=1,RIGHT(Q$3,4)&amp;", ","")&amp;IF($R4=1,RIGHT(R$3,4)&amp;", ","")&amp;IF($S4=1,RIGHT(S$3,4)&amp;", ","")&amp;IF($T4=1,RIGHT(T$3,4)&amp;", ","")&amp;IF($U4=1,RIGHT(U$3,4)&amp;", ","")&amp;IF($V4=1,RIGHT(V$3,4)&amp;", ","")&amp;IF($W4=1,RIGHT(W$3,4)&amp;", ","")&amp;IF($X4=1,RIGHT(X$3,4)&amp;", ","")&amp;IF($Y4=1,RIGHT(Y$3,4)&amp;", ","")&amp;IF($Z4=1,RIGHT(Z$3,4)&amp;", ","")&amp;IF($AA4=1,RIGHT(AA$3,4)&amp;", ","")&amp;IF($AB4=1,RIGHT(AB$3,4)&amp;", ","")&amp;IF($AC4=1,RIGHT(AC$3,4)&amp;", ","")&amp;IF($AD4=1,RIGHT(AD$3,4)&amp;", ","")&amp;IF($AE4=1,RIGHT(AE$3,4)&amp;", ","")&amp;IF($AF4=1,RIGHT(AF$3,4)&amp;", ","")&amp;IF($AG4=1,RIGHT(AG$3,4)&amp;", ","")&amp;IF($AH4=1,RIGHT(AH$3,4)&amp;", ","")&amp;IF($AI4=1,RIGHT(AI$3,4)&amp;", ","")&amp;IF($AJ4=1,RIGHT(AJ$3,4)&amp;", ","")&amp;IF($AK4=1,RIGHT(AK$3,4)&amp;", ","")&amp;IF($AL4=1,RIGHT(AL$3,4)&amp;", ","")&amp;IF($AM4=1,RIGHT(AM$3,4)&amp;", ","")&amp;IF($AN4=1,RIGHT(AN$3,4)&amp;", ","")&amp;IF($AO4=1,RIGHT(AO$3,4)&amp;", ","")&amp;IF($AP4=1,RIGHT(AP$3,4)&amp;", ","")&amp;IF($AQ4=1,RIGHT(AQ$3,4)&amp;", ","")&amp;IF($AR4=1,RIGHT(AR$3,4)&amp;", ","")&amp;IF($AS4=1,RIGHT(AS$3,4)&amp;", ","")&amp;IF($AT4=1,RIGHT(AT$3,4)&amp;", ","")</f>
        <v xml:space="preserve">1997, 2000, 2003, 2010, 2015, </v>
      </c>
    </row>
    <row r="5" spans="1:51" x14ac:dyDescent="0.2">
      <c r="A5" s="9">
        <f t="shared" ref="A5:A36" si="1">1+A4</f>
        <v>2</v>
      </c>
      <c r="B5" s="10" t="s">
        <v>42</v>
      </c>
      <c r="C5" s="17" t="s">
        <v>244</v>
      </c>
      <c r="D5" s="10" t="s">
        <v>243</v>
      </c>
      <c r="E5" s="9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0</v>
      </c>
      <c r="AM5">
        <v>0</v>
      </c>
      <c r="AN5">
        <v>0</v>
      </c>
      <c r="AP5" s="13"/>
      <c r="AQ5" s="13"/>
      <c r="AR5" s="31"/>
      <c r="AS5" s="31"/>
      <c r="AT5" s="31"/>
      <c r="AV5" s="2"/>
      <c r="AW5" s="2"/>
      <c r="AX5" s="2"/>
      <c r="AY5" t="str">
        <f t="shared" ref="AY5:AY68" si="2">+IF($F5=1,RIGHT(F$3,4)&amp;", ","")&amp;IF($G5=1,RIGHT(G$3,4)&amp;", ","")&amp;IF($H5=1,RIGHT(H$3,4)&amp;", ","")&amp;IF($I5=1,RIGHT(I$3,4)&amp;", ","")&amp;IF($J5=1,RIGHT(J$3,4)&amp;", ","")&amp;IF($K5=1,RIGHT(K$3,4)&amp;", ","")&amp;IF($L5=1,RIGHT(L$3,4)&amp;", ","")&amp;IF($M5=1,RIGHT(M$3,4)&amp;", ","")&amp;IF($N5=1,RIGHT(N$3,4)&amp;", ","")&amp;IF($O5=1,RIGHT(O$3,4)&amp;", ","")&amp;IF($P5=1,RIGHT(P$3,4)&amp;", ","")&amp;IF($Q5=1,RIGHT(Q$3,4)&amp;", ","")&amp;IF($R5=1,RIGHT(R$3,4)&amp;", ","")&amp;IF($S5=1,RIGHT(S$3,4)&amp;", ","")&amp;IF($T5=1,RIGHT(T$3,4)&amp;", ","")&amp;IF($U5=1,RIGHT(U$3,4)&amp;", ","")&amp;IF($V5=1,RIGHT(V$3,4)&amp;", ","")&amp;IF($W5=1,RIGHT(W$3,4)&amp;", ","")&amp;IF($X5=1,RIGHT(X$3,4)&amp;", ","")&amp;IF($Y5=1,RIGHT(Y$3,4)&amp;", ","")&amp;IF($Z5=1,RIGHT(Z$3,4)&amp;", ","")&amp;IF($AA5=1,RIGHT(AA$3,4)&amp;", ","")&amp;IF($AB5=1,RIGHT(AB$3,4)&amp;", ","")&amp;IF($AC5=1,RIGHT(AC$3,4)&amp;", ","")&amp;IF($AD5=1,RIGHT(AD$3,4)&amp;", ","")&amp;IF($AE5=1,RIGHT(AE$3,4)&amp;", ","")&amp;IF($AF5=1,RIGHT(AF$3,4)&amp;", ","")&amp;IF($AG5=1,RIGHT(AG$3,4)&amp;", ","")&amp;IF($AH5=1,RIGHT(AH$3,4)&amp;", ","")&amp;IF($AI5=1,RIGHT(AI$3,4)&amp;", ","")&amp;IF($AJ5=1,RIGHT(AJ$3,4)&amp;", ","")&amp;IF($AK5=1,RIGHT(AK$3,4)&amp;", ","")&amp;IF($AL5=1,RIGHT(AL$3,4)&amp;", ","")&amp;IF($AM5=1,RIGHT(AM$3,4)&amp;", ","")&amp;IF($AN5=1,RIGHT(AN$3,4)&amp;", ","")&amp;IF($AO5=1,RIGHT(AO$3,4)&amp;", ","")&amp;IF($AP5=1,RIGHT(AP$3,4)&amp;", ","")&amp;IF($AQ5=1,RIGHT(AQ$3,4)&amp;", ","")&amp;IF($AR5=1,RIGHT(AR$3,4)&amp;", ","")&amp;IF($AS5=1,RIGHT(AS$3,4)&amp;", ","")&amp;IF($AT5=1,RIGHT(AT$3,4)&amp;", ","")</f>
        <v xml:space="preserve">1996, 2001, 2015, </v>
      </c>
    </row>
    <row r="6" spans="1:51" x14ac:dyDescent="0.2">
      <c r="A6" s="9">
        <f t="shared" si="1"/>
        <v>3</v>
      </c>
      <c r="B6" s="10" t="s">
        <v>43</v>
      </c>
      <c r="C6" s="17" t="s">
        <v>245</v>
      </c>
      <c r="D6" s="10" t="s">
        <v>243</v>
      </c>
      <c r="E6" s="9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0</v>
      </c>
      <c r="AN6">
        <v>0</v>
      </c>
      <c r="AO6" s="13">
        <v>1</v>
      </c>
      <c r="AP6" s="13"/>
      <c r="AQ6" s="13"/>
      <c r="AR6" s="13"/>
      <c r="AS6" s="13"/>
      <c r="AT6" s="13"/>
      <c r="AU6" s="2" t="s">
        <v>246</v>
      </c>
      <c r="AV6" s="2"/>
      <c r="AW6" s="2"/>
      <c r="AX6" s="2"/>
      <c r="AY6" t="str">
        <f t="shared" si="2"/>
        <v xml:space="preserve">2000, 2005, 2008, 2017, 2020, </v>
      </c>
    </row>
    <row r="7" spans="1:51" x14ac:dyDescent="0.2">
      <c r="A7" s="9">
        <f t="shared" si="1"/>
        <v>4</v>
      </c>
      <c r="B7" s="10" t="s">
        <v>44</v>
      </c>
      <c r="C7" s="17" t="s">
        <v>247</v>
      </c>
      <c r="D7" s="10" t="s">
        <v>243</v>
      </c>
      <c r="E7" s="9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 s="13"/>
      <c r="AP7" s="13"/>
      <c r="AQ7" s="13"/>
      <c r="AR7" s="13"/>
      <c r="AS7" s="13"/>
      <c r="AT7" s="13"/>
      <c r="AU7" s="2"/>
      <c r="AV7" s="2"/>
      <c r="AW7" s="2"/>
      <c r="AX7" s="2"/>
      <c r="AY7" t="str">
        <f t="shared" si="2"/>
        <v xml:space="preserve">2011, 2019, </v>
      </c>
    </row>
    <row r="8" spans="1:51" x14ac:dyDescent="0.2">
      <c r="A8" s="9">
        <f t="shared" si="1"/>
        <v>5</v>
      </c>
      <c r="B8" s="10" t="s">
        <v>45</v>
      </c>
      <c r="C8" s="17" t="s">
        <v>248</v>
      </c>
      <c r="D8" s="10" t="s">
        <v>243</v>
      </c>
      <c r="E8" s="9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0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 s="13"/>
      <c r="AP8" s="13"/>
      <c r="AQ8" s="13"/>
      <c r="AR8" s="13"/>
      <c r="AS8" s="13"/>
      <c r="AT8" s="13"/>
      <c r="AU8" s="2"/>
      <c r="AV8" s="2"/>
      <c r="AW8" s="2"/>
      <c r="AX8" s="2"/>
      <c r="AY8" t="str">
        <f t="shared" si="2"/>
        <v xml:space="preserve">2000, 2005, 2010, 2015, </v>
      </c>
    </row>
    <row r="9" spans="1:51" x14ac:dyDescent="0.2">
      <c r="A9" s="9">
        <f t="shared" si="1"/>
        <v>6</v>
      </c>
      <c r="B9" s="10" t="s">
        <v>46</v>
      </c>
      <c r="C9" s="17" t="s">
        <v>249</v>
      </c>
      <c r="D9" s="10" t="s">
        <v>243</v>
      </c>
      <c r="E9" s="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 s="13"/>
      <c r="AP9" s="13"/>
      <c r="AQ9" s="13"/>
      <c r="AR9" s="13"/>
      <c r="AS9" s="13"/>
      <c r="AT9" s="13"/>
      <c r="AU9" s="2"/>
      <c r="AV9" s="2"/>
      <c r="AW9" s="2"/>
      <c r="AX9" s="2"/>
      <c r="AY9" t="str">
        <f t="shared" si="2"/>
        <v/>
      </c>
    </row>
    <row r="10" spans="1:51" ht="16.25" customHeight="1" x14ac:dyDescent="0.2">
      <c r="A10" s="9">
        <f t="shared" si="1"/>
        <v>7</v>
      </c>
      <c r="B10" s="10" t="s">
        <v>47</v>
      </c>
      <c r="C10" s="17" t="s">
        <v>250</v>
      </c>
      <c r="D10" s="10" t="s">
        <v>243</v>
      </c>
      <c r="E10" s="9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 s="13"/>
      <c r="AP10" s="13"/>
      <c r="AQ10" s="13"/>
      <c r="AR10" s="13"/>
      <c r="AS10" s="13"/>
      <c r="AT10" s="13"/>
      <c r="AU10" s="2"/>
      <c r="AV10" s="2"/>
      <c r="AW10" s="2"/>
      <c r="AX10" s="2"/>
      <c r="AY10" t="str">
        <f t="shared" si="2"/>
        <v xml:space="preserve">2000, 2006, </v>
      </c>
    </row>
    <row r="11" spans="1:51" x14ac:dyDescent="0.2">
      <c r="A11" s="9">
        <f t="shared" si="1"/>
        <v>8</v>
      </c>
      <c r="B11" s="10" t="s">
        <v>48</v>
      </c>
      <c r="C11" s="17" t="s">
        <v>251</v>
      </c>
      <c r="D11" s="10" t="s">
        <v>243</v>
      </c>
      <c r="E11" s="9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 s="13"/>
      <c r="AP11" s="13"/>
      <c r="AQ11" s="13"/>
      <c r="AR11" s="13"/>
      <c r="AS11" s="13"/>
      <c r="AT11" s="13"/>
      <c r="AU11" s="2"/>
      <c r="AV11" s="2"/>
      <c r="AW11" s="2"/>
      <c r="AX11" s="2"/>
      <c r="AY11" t="str">
        <f t="shared" si="2"/>
        <v xml:space="preserve">1987, 1996, 2000, 2005, 2010, 2016, </v>
      </c>
    </row>
    <row r="12" spans="1:51" x14ac:dyDescent="0.2">
      <c r="A12" s="9">
        <f t="shared" si="1"/>
        <v>9</v>
      </c>
      <c r="B12" s="10" t="s">
        <v>49</v>
      </c>
      <c r="C12" s="17" t="s">
        <v>252</v>
      </c>
      <c r="D12" s="10" t="s">
        <v>243</v>
      </c>
      <c r="E12" s="9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0</v>
      </c>
      <c r="AO12" s="13"/>
      <c r="AP12" s="13"/>
      <c r="AQ12" s="13"/>
      <c r="AR12" s="13"/>
      <c r="AS12" s="13"/>
      <c r="AT12" s="13"/>
      <c r="AU12" s="2"/>
      <c r="AV12" s="2"/>
      <c r="AW12" s="2"/>
      <c r="AX12" s="2"/>
      <c r="AY12" t="str">
        <f t="shared" si="2"/>
        <v xml:space="preserve">1996, 2001, 2006, 2011, 2014, 2017, </v>
      </c>
    </row>
    <row r="13" spans="1:51" x14ac:dyDescent="0.2">
      <c r="A13" s="9">
        <f t="shared" si="1"/>
        <v>10</v>
      </c>
      <c r="B13" s="10" t="s">
        <v>50</v>
      </c>
      <c r="C13" s="17" t="s">
        <v>253</v>
      </c>
      <c r="D13" s="10" t="s">
        <v>243</v>
      </c>
      <c r="E13" s="9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2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 s="13"/>
      <c r="AP13" s="13"/>
      <c r="AQ13" s="13"/>
      <c r="AR13" s="13"/>
      <c r="AS13" s="13"/>
      <c r="AT13" s="13"/>
      <c r="AU13" s="2"/>
      <c r="AV13" s="2"/>
      <c r="AW13" s="2"/>
      <c r="AX13" s="2"/>
      <c r="AY13" t="str">
        <f t="shared" si="2"/>
        <v xml:space="preserve">1993, 1996, 1999, 2006, 2010, </v>
      </c>
    </row>
    <row r="14" spans="1:51" x14ac:dyDescent="0.2">
      <c r="A14" s="9">
        <f t="shared" si="1"/>
        <v>11</v>
      </c>
      <c r="B14" s="10" t="s">
        <v>51</v>
      </c>
      <c r="C14" s="17" t="s">
        <v>254</v>
      </c>
      <c r="D14" s="10" t="s">
        <v>243</v>
      </c>
      <c r="E14" s="9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1</v>
      </c>
      <c r="S14">
        <v>0</v>
      </c>
      <c r="T14">
        <v>0</v>
      </c>
      <c r="U14">
        <v>1</v>
      </c>
      <c r="V14">
        <v>1</v>
      </c>
      <c r="W14">
        <v>0</v>
      </c>
      <c r="X14">
        <v>1</v>
      </c>
      <c r="Y14">
        <v>1</v>
      </c>
      <c r="Z14">
        <v>0</v>
      </c>
      <c r="AA14">
        <v>1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1</v>
      </c>
      <c r="AH14">
        <v>0</v>
      </c>
      <c r="AI14">
        <v>1</v>
      </c>
      <c r="AJ14">
        <v>0</v>
      </c>
      <c r="AK14">
        <v>0</v>
      </c>
      <c r="AL14">
        <v>1</v>
      </c>
      <c r="AM14">
        <v>0</v>
      </c>
      <c r="AN14">
        <v>1</v>
      </c>
      <c r="AO14" s="13"/>
      <c r="AP14" s="13"/>
      <c r="AQ14" s="13"/>
      <c r="AR14" s="13"/>
      <c r="AS14" s="13"/>
      <c r="AT14" s="13"/>
      <c r="AU14" s="2"/>
      <c r="AV14" s="2"/>
      <c r="AW14" s="2"/>
      <c r="AX14" s="2"/>
      <c r="AY14" t="str">
        <f t="shared" si="2"/>
        <v xml:space="preserve">1993, 1994, 1995, 1997, 2000, 2001, 2003, 2004, 2006, 2007, 2011, 2012, 2014, 2017, 2019, </v>
      </c>
    </row>
    <row r="15" spans="1:51" s="23" customFormat="1" x14ac:dyDescent="0.2">
      <c r="A15" s="20">
        <f t="shared" si="1"/>
        <v>12</v>
      </c>
      <c r="B15" s="21" t="s">
        <v>52</v>
      </c>
      <c r="C15" s="22" t="s">
        <v>255</v>
      </c>
      <c r="D15" s="10" t="s">
        <v>243</v>
      </c>
      <c r="E15" s="9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1</v>
      </c>
      <c r="AO15" s="19"/>
      <c r="AP15" s="19"/>
      <c r="AQ15" s="19"/>
      <c r="AR15" s="19"/>
      <c r="AS15" s="19"/>
      <c r="AT15" s="19"/>
      <c r="AU15" s="22" t="s">
        <v>246</v>
      </c>
      <c r="AV15" s="22"/>
      <c r="AW15" s="22"/>
      <c r="AX15" s="22"/>
      <c r="AY15" t="str">
        <f t="shared" si="2"/>
        <v xml:space="preserve">2008, 2014, 2019, </v>
      </c>
    </row>
    <row r="16" spans="1:51" x14ac:dyDescent="0.2">
      <c r="A16" s="9">
        <f t="shared" si="1"/>
        <v>13</v>
      </c>
      <c r="B16" s="10" t="s">
        <v>53</v>
      </c>
      <c r="C16" s="17" t="s">
        <v>256</v>
      </c>
      <c r="D16" s="10" t="s">
        <v>243</v>
      </c>
      <c r="E16" s="9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 s="13"/>
      <c r="AP16" s="13"/>
      <c r="AQ16" s="13"/>
      <c r="AR16" s="13"/>
      <c r="AS16" s="13"/>
      <c r="AT16" s="13"/>
      <c r="AU16" s="2"/>
      <c r="AV16" s="2"/>
      <c r="AW16" s="2"/>
      <c r="AX16" s="2"/>
      <c r="AY16" t="str">
        <f t="shared" si="2"/>
        <v xml:space="preserve">2000, 2003, 2006, 2011, </v>
      </c>
    </row>
    <row r="17" spans="1:51" x14ac:dyDescent="0.2">
      <c r="A17" s="9">
        <f t="shared" si="1"/>
        <v>14</v>
      </c>
      <c r="B17" s="10" t="s">
        <v>54</v>
      </c>
      <c r="C17" s="17" t="s">
        <v>257</v>
      </c>
      <c r="D17" s="10" t="s">
        <v>243</v>
      </c>
      <c r="E17" s="9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 s="13"/>
      <c r="AP17" s="13"/>
      <c r="AQ17" s="13"/>
      <c r="AR17" s="13"/>
      <c r="AS17" s="13"/>
      <c r="AT17" s="13"/>
      <c r="AU17" s="2"/>
      <c r="AV17" s="2"/>
      <c r="AW17" s="2"/>
      <c r="AX17" s="2"/>
      <c r="AY17" t="str">
        <f t="shared" si="2"/>
        <v xml:space="preserve">2005, 2012, 2019, </v>
      </c>
    </row>
    <row r="18" spans="1:51" x14ac:dyDescent="0.2">
      <c r="A18" s="9">
        <f t="shared" si="1"/>
        <v>15</v>
      </c>
      <c r="B18" s="10" t="s">
        <v>55</v>
      </c>
      <c r="C18" s="17" t="s">
        <v>258</v>
      </c>
      <c r="D18" s="10" t="s">
        <v>243</v>
      </c>
      <c r="E18" s="9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1</v>
      </c>
      <c r="AK18">
        <v>0</v>
      </c>
      <c r="AL18">
        <v>0</v>
      </c>
      <c r="AM18">
        <v>0</v>
      </c>
      <c r="AN18">
        <v>0</v>
      </c>
      <c r="AO18" s="13"/>
      <c r="AP18" s="13"/>
      <c r="AQ18" s="13"/>
      <c r="AR18" s="13"/>
      <c r="AS18" s="13"/>
      <c r="AT18" s="13"/>
      <c r="AU18" s="2"/>
      <c r="AV18" s="2"/>
      <c r="AW18" s="2"/>
      <c r="AX18" s="2"/>
      <c r="AY18" t="str">
        <f t="shared" si="2"/>
        <v xml:space="preserve">1998, 1999, 2006, 2011, 2015, </v>
      </c>
    </row>
    <row r="19" spans="1:51" x14ac:dyDescent="0.2">
      <c r="A19" s="9">
        <f t="shared" si="1"/>
        <v>16</v>
      </c>
      <c r="B19" s="10" t="s">
        <v>56</v>
      </c>
      <c r="C19" s="17" t="s">
        <v>259</v>
      </c>
      <c r="D19" s="10" t="s">
        <v>243</v>
      </c>
      <c r="E19" s="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1</v>
      </c>
      <c r="R19">
        <v>0</v>
      </c>
      <c r="S19">
        <v>1</v>
      </c>
      <c r="T19">
        <v>0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 s="13"/>
      <c r="AP19" s="13"/>
      <c r="AQ19" s="13"/>
      <c r="AR19" s="13"/>
      <c r="AS19" s="13"/>
      <c r="AT19" s="13"/>
      <c r="AU19" s="2"/>
      <c r="AV19" s="2"/>
      <c r="AW19" s="2"/>
      <c r="AX19" s="2"/>
      <c r="AY19" t="str">
        <f t="shared" si="2"/>
        <v xml:space="preserve">1989, 1994, 1996, 1998, 2000, 2003, 2008, 2016, </v>
      </c>
    </row>
    <row r="20" spans="1:51" x14ac:dyDescent="0.2">
      <c r="A20" s="9">
        <f t="shared" si="1"/>
        <v>17</v>
      </c>
      <c r="B20" s="10" t="s">
        <v>57</v>
      </c>
      <c r="C20" s="17" t="s">
        <v>260</v>
      </c>
      <c r="D20" s="10" t="s">
        <v>243</v>
      </c>
      <c r="E20" s="9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 s="13"/>
      <c r="AP20" s="13"/>
      <c r="AQ20" s="13"/>
      <c r="AR20" s="13"/>
      <c r="AS20" s="13"/>
      <c r="AT20" s="13"/>
      <c r="AU20" s="2"/>
      <c r="AV20" s="2"/>
      <c r="AW20" s="2"/>
      <c r="AX20" s="2"/>
      <c r="AY20" t="str">
        <f t="shared" si="2"/>
        <v xml:space="preserve">1986, 1991, 1996, 2003, 2013, 2019, </v>
      </c>
    </row>
    <row r="21" spans="1:51" x14ac:dyDescent="0.2">
      <c r="A21" s="9">
        <f t="shared" si="1"/>
        <v>18</v>
      </c>
      <c r="B21" s="10" t="s">
        <v>58</v>
      </c>
      <c r="C21" s="17" t="s">
        <v>261</v>
      </c>
      <c r="D21" s="10" t="s">
        <v>243</v>
      </c>
      <c r="E21" s="9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 s="13"/>
      <c r="AP21" s="13"/>
      <c r="AQ21" s="13"/>
      <c r="AR21" s="13"/>
      <c r="AS21" s="13"/>
      <c r="AT21" s="13"/>
      <c r="AU21" s="2"/>
      <c r="AV21" s="2"/>
      <c r="AW21" s="2"/>
      <c r="AX21" s="2"/>
      <c r="AY21" t="str">
        <f t="shared" si="2"/>
        <v xml:space="preserve">2010, </v>
      </c>
    </row>
    <row r="22" spans="1:51" x14ac:dyDescent="0.2">
      <c r="A22" s="9">
        <f t="shared" si="1"/>
        <v>19</v>
      </c>
      <c r="B22" s="10" t="s">
        <v>59</v>
      </c>
      <c r="C22" s="17" t="s">
        <v>262</v>
      </c>
      <c r="D22" s="10" t="s">
        <v>243</v>
      </c>
      <c r="E22" s="9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 s="13"/>
      <c r="AP22" s="13"/>
      <c r="AQ22" s="13"/>
      <c r="AR22" s="13"/>
      <c r="AS22" s="13"/>
      <c r="AT22" s="13"/>
      <c r="AU22" s="2"/>
      <c r="AV22" s="2"/>
      <c r="AW22" s="2"/>
      <c r="AX22" s="2"/>
      <c r="AY22" t="str">
        <f t="shared" si="2"/>
        <v xml:space="preserve">1988, 2000, 2007, </v>
      </c>
    </row>
    <row r="23" spans="1:51" x14ac:dyDescent="0.2">
      <c r="A23" s="9">
        <f t="shared" si="1"/>
        <v>20</v>
      </c>
      <c r="B23" s="10" t="s">
        <v>60</v>
      </c>
      <c r="C23" s="17" t="s">
        <v>263</v>
      </c>
      <c r="D23" s="10" t="s">
        <v>243</v>
      </c>
      <c r="E23" s="9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1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 s="13"/>
      <c r="AP23" s="13"/>
      <c r="AQ23" s="13"/>
      <c r="AR23" s="13"/>
      <c r="AS23" s="13"/>
      <c r="AT23" s="13"/>
      <c r="AU23" s="2"/>
      <c r="AV23" s="2"/>
      <c r="AW23" s="2"/>
      <c r="AX23" s="2"/>
      <c r="AY23" t="str">
        <f t="shared" si="2"/>
        <v xml:space="preserve">1995, 1996, 2000, 2006, 2010, 2018, </v>
      </c>
    </row>
    <row r="24" spans="1:51" x14ac:dyDescent="0.2">
      <c r="A24" s="9">
        <f t="shared" si="1"/>
        <v>21</v>
      </c>
      <c r="B24" s="10" t="s">
        <v>61</v>
      </c>
      <c r="C24" s="17" t="s">
        <v>264</v>
      </c>
      <c r="D24" s="10" t="s">
        <v>243</v>
      </c>
      <c r="E24" s="9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s="13"/>
      <c r="AP24" s="13"/>
      <c r="AQ24" s="13"/>
      <c r="AR24" s="13"/>
      <c r="AS24" s="13"/>
      <c r="AT24" s="13"/>
      <c r="AU24" s="2"/>
      <c r="AV24" s="2"/>
      <c r="AW24" s="2"/>
      <c r="AX24" s="2"/>
      <c r="AY24" t="str">
        <f t="shared" si="2"/>
        <v/>
      </c>
    </row>
    <row r="25" spans="1:51" ht="17.5" customHeight="1" x14ac:dyDescent="0.2">
      <c r="A25" s="9">
        <f t="shared" si="1"/>
        <v>22</v>
      </c>
      <c r="B25" s="10" t="s">
        <v>62</v>
      </c>
      <c r="C25" s="17" t="s">
        <v>265</v>
      </c>
      <c r="D25" s="10" t="s">
        <v>243</v>
      </c>
      <c r="E25" s="9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 s="13"/>
      <c r="AP25" s="13"/>
      <c r="AQ25" s="13"/>
      <c r="AR25" s="13"/>
      <c r="AS25" s="13"/>
      <c r="AT25" s="13"/>
      <c r="AU25" s="2"/>
      <c r="AV25" s="2"/>
      <c r="AW25" s="2"/>
      <c r="AX25" s="2"/>
      <c r="AY25" t="str">
        <f t="shared" si="2"/>
        <v xml:space="preserve">1995, </v>
      </c>
    </row>
    <row r="26" spans="1:51" ht="15.5" customHeight="1" x14ac:dyDescent="0.2">
      <c r="A26" s="9">
        <f t="shared" si="1"/>
        <v>23</v>
      </c>
      <c r="B26" s="10" t="s">
        <v>63</v>
      </c>
      <c r="C26" s="17" t="s">
        <v>266</v>
      </c>
      <c r="D26" s="10" t="s">
        <v>243</v>
      </c>
      <c r="E26" s="9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0</v>
      </c>
      <c r="T26">
        <v>1</v>
      </c>
      <c r="U26">
        <v>1</v>
      </c>
      <c r="V26">
        <v>0</v>
      </c>
      <c r="W26">
        <v>0</v>
      </c>
      <c r="X26">
        <v>1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 s="13"/>
      <c r="AP26" s="13"/>
      <c r="AQ26" s="13"/>
      <c r="AR26" s="13"/>
      <c r="AS26" s="13"/>
      <c r="AT26" s="13"/>
      <c r="AU26" s="2"/>
      <c r="AV26" s="2"/>
      <c r="AW26" s="2"/>
      <c r="AX26" s="2"/>
      <c r="AY26" t="str">
        <f t="shared" si="2"/>
        <v xml:space="preserve">1994, 1996, 1999, 2000, 2003, 2006, 2012, 2016, </v>
      </c>
    </row>
    <row r="27" spans="1:51" x14ac:dyDescent="0.2">
      <c r="A27" s="9">
        <f t="shared" si="1"/>
        <v>24</v>
      </c>
      <c r="B27" s="10" t="s">
        <v>64</v>
      </c>
      <c r="C27" s="17" t="s">
        <v>267</v>
      </c>
      <c r="D27" s="10" t="s">
        <v>243</v>
      </c>
      <c r="E27" s="9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</v>
      </c>
      <c r="T27">
        <v>0</v>
      </c>
      <c r="U27">
        <v>1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1</v>
      </c>
      <c r="AN27">
        <v>0</v>
      </c>
      <c r="AO27" s="13"/>
      <c r="AP27" s="13"/>
      <c r="AQ27" s="13"/>
      <c r="AR27" s="13"/>
      <c r="AS27" s="13"/>
      <c r="AT27" s="13"/>
      <c r="AU27" s="2"/>
      <c r="AV27" s="2"/>
      <c r="AW27" s="2"/>
      <c r="AX27" s="2"/>
      <c r="AY27" t="str">
        <f t="shared" si="2"/>
        <v xml:space="preserve">1991, 1998, 2000, 2004, 2006, 2011, 2014, 2018, </v>
      </c>
    </row>
    <row r="28" spans="1:51" x14ac:dyDescent="0.2">
      <c r="A28" s="9">
        <f t="shared" si="1"/>
        <v>25</v>
      </c>
      <c r="B28" s="10" t="s">
        <v>65</v>
      </c>
      <c r="C28" s="17" t="s">
        <v>268</v>
      </c>
      <c r="D28" s="10" t="s">
        <v>243</v>
      </c>
      <c r="E28" s="9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 s="13"/>
      <c r="AP28" s="13"/>
      <c r="AQ28" s="13"/>
      <c r="AR28" s="13"/>
      <c r="AS28" s="13"/>
      <c r="AT28" s="13"/>
      <c r="AU28" s="2"/>
      <c r="AV28" s="2"/>
      <c r="AW28" s="2"/>
      <c r="AX28" s="2"/>
      <c r="AY28" t="str">
        <f t="shared" si="2"/>
        <v xml:space="preserve">1995, 2001, 2007, 2010, 2013, 2017, </v>
      </c>
    </row>
    <row r="29" spans="1:51" x14ac:dyDescent="0.2">
      <c r="A29" s="9">
        <f t="shared" si="1"/>
        <v>26</v>
      </c>
      <c r="B29" s="10" t="s">
        <v>66</v>
      </c>
      <c r="C29" s="17" t="s">
        <v>269</v>
      </c>
      <c r="D29" s="10" t="s">
        <v>243</v>
      </c>
      <c r="E29" s="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  <c r="AN29">
        <v>0</v>
      </c>
      <c r="AO29" s="13"/>
      <c r="AP29" s="13"/>
      <c r="AQ29" s="13"/>
      <c r="AR29" s="13"/>
      <c r="AS29" s="13"/>
      <c r="AT29" s="13"/>
      <c r="AU29" s="2"/>
      <c r="AV29" s="2"/>
      <c r="AW29" s="2"/>
      <c r="AX29" s="2"/>
      <c r="AY29" t="str">
        <f t="shared" si="2"/>
        <v xml:space="preserve">2003, 2005, 2011, 2014, </v>
      </c>
    </row>
    <row r="30" spans="1:51" x14ac:dyDescent="0.2">
      <c r="A30" s="9">
        <f t="shared" si="1"/>
        <v>27</v>
      </c>
      <c r="B30" s="10" t="s">
        <v>67</v>
      </c>
      <c r="C30" s="17" t="s">
        <v>270</v>
      </c>
      <c r="D30" s="10" t="s">
        <v>243</v>
      </c>
      <c r="E30" s="9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 s="13"/>
      <c r="AP30" s="13"/>
      <c r="AQ30" s="13"/>
      <c r="AR30" s="13"/>
      <c r="AS30" s="13"/>
      <c r="AT30" s="13"/>
      <c r="AU30" s="2"/>
      <c r="AV30" s="2"/>
      <c r="AW30" s="2"/>
      <c r="AX30" s="2"/>
      <c r="AY30" t="str">
        <f t="shared" si="2"/>
        <v xml:space="preserve">1986, 1990, 1995, 2000, 2005, 2010, 2015, </v>
      </c>
    </row>
    <row r="31" spans="1:51" ht="17.5" customHeight="1" x14ac:dyDescent="0.2">
      <c r="A31" s="9">
        <f t="shared" si="1"/>
        <v>28</v>
      </c>
      <c r="B31" s="10" t="s">
        <v>68</v>
      </c>
      <c r="C31" s="17" t="s">
        <v>271</v>
      </c>
      <c r="D31" s="10" t="s">
        <v>243</v>
      </c>
      <c r="E31" s="9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 s="13"/>
      <c r="AP31" s="13"/>
      <c r="AQ31" s="13"/>
      <c r="AR31" s="13"/>
      <c r="AS31" s="13"/>
      <c r="AT31" s="13"/>
      <c r="AU31" s="2"/>
      <c r="AV31" s="2"/>
      <c r="AW31" s="2"/>
      <c r="AX31" s="2"/>
      <c r="AY31" t="str">
        <f t="shared" si="2"/>
        <v xml:space="preserve">1996, 2000, 2012, </v>
      </c>
    </row>
    <row r="32" spans="1:51" x14ac:dyDescent="0.2">
      <c r="A32" s="9">
        <f t="shared" si="1"/>
        <v>29</v>
      </c>
      <c r="B32" s="10" t="s">
        <v>69</v>
      </c>
      <c r="C32" s="17" t="s">
        <v>272</v>
      </c>
      <c r="D32" s="10" t="s">
        <v>243</v>
      </c>
      <c r="E32" s="9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 s="13"/>
      <c r="AP32" s="13"/>
      <c r="AQ32" s="13"/>
      <c r="AR32" s="13"/>
      <c r="AS32" s="13"/>
      <c r="AT32" s="13"/>
      <c r="AU32" s="2"/>
      <c r="AV32" s="2"/>
      <c r="AW32" s="2"/>
      <c r="AX32" s="2"/>
      <c r="AY32" t="str">
        <f t="shared" si="2"/>
        <v xml:space="preserve">2005, </v>
      </c>
    </row>
    <row r="33" spans="1:51" x14ac:dyDescent="0.2">
      <c r="A33" s="9">
        <f t="shared" si="1"/>
        <v>30</v>
      </c>
      <c r="B33" s="10" t="s">
        <v>70</v>
      </c>
      <c r="C33" s="17" t="s">
        <v>273</v>
      </c>
      <c r="D33" s="10" t="s">
        <v>243</v>
      </c>
      <c r="E33" s="9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 s="13"/>
      <c r="AP33" s="13"/>
      <c r="AQ33" s="13"/>
      <c r="AR33" s="13"/>
      <c r="AS33" s="13"/>
      <c r="AT33" s="13"/>
      <c r="AU33" s="2"/>
      <c r="AV33" s="2"/>
      <c r="AW33" s="2"/>
      <c r="AX33" s="2"/>
      <c r="AY33" t="str">
        <f t="shared" si="2"/>
        <v xml:space="preserve">2011, 2018, </v>
      </c>
    </row>
    <row r="34" spans="1:51" x14ac:dyDescent="0.2">
      <c r="A34" s="9">
        <f t="shared" si="1"/>
        <v>31</v>
      </c>
      <c r="B34" s="10" t="s">
        <v>71</v>
      </c>
      <c r="C34" s="17" t="s">
        <v>274</v>
      </c>
      <c r="D34" s="10" t="s">
        <v>243</v>
      </c>
      <c r="E34" s="9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 s="13"/>
      <c r="AP34" s="13"/>
      <c r="AQ34" s="13"/>
      <c r="AR34" s="13"/>
      <c r="AS34" s="13"/>
      <c r="AT34" s="13"/>
      <c r="AU34" s="2"/>
      <c r="AV34" s="2"/>
      <c r="AW34" s="2"/>
      <c r="AX34" s="2"/>
      <c r="AY34" t="str">
        <f t="shared" si="2"/>
        <v xml:space="preserve">2006, </v>
      </c>
    </row>
    <row r="35" spans="1:51" x14ac:dyDescent="0.2">
      <c r="A35" s="9">
        <f t="shared" si="1"/>
        <v>32</v>
      </c>
      <c r="B35" s="10" t="s">
        <v>72</v>
      </c>
      <c r="C35" s="17" t="s">
        <v>275</v>
      </c>
      <c r="D35" s="10" t="s">
        <v>243</v>
      </c>
      <c r="E35" s="9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 s="13"/>
      <c r="AP35" s="13"/>
      <c r="AQ35" s="13"/>
      <c r="AR35" s="13"/>
      <c r="AS35" s="13"/>
      <c r="AT35" s="13"/>
      <c r="AU35" s="2"/>
      <c r="AV35" s="2"/>
      <c r="AW35" s="2"/>
      <c r="AX35" s="2"/>
      <c r="AY35" t="str">
        <f t="shared" si="2"/>
        <v/>
      </c>
    </row>
    <row r="36" spans="1:51" ht="17" customHeight="1" x14ac:dyDescent="0.2">
      <c r="A36" s="9">
        <f t="shared" si="1"/>
        <v>33</v>
      </c>
      <c r="B36" s="10" t="s">
        <v>73</v>
      </c>
      <c r="C36" s="17" t="s">
        <v>276</v>
      </c>
      <c r="D36" s="10" t="s">
        <v>243</v>
      </c>
      <c r="E36" s="9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1</v>
      </c>
      <c r="V36">
        <v>0</v>
      </c>
      <c r="W36">
        <v>1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1</v>
      </c>
      <c r="AJ36">
        <v>0</v>
      </c>
      <c r="AK36">
        <v>0</v>
      </c>
      <c r="AL36">
        <v>0</v>
      </c>
      <c r="AM36">
        <v>0</v>
      </c>
      <c r="AN36">
        <v>1</v>
      </c>
      <c r="AO36" s="13"/>
      <c r="AP36" s="13"/>
      <c r="AQ36" s="13"/>
      <c r="AR36" s="13"/>
      <c r="AS36" s="13"/>
      <c r="AT36" s="13"/>
      <c r="AU36" s="2"/>
      <c r="AV36" s="2"/>
      <c r="AW36" s="2"/>
      <c r="AX36" s="2"/>
      <c r="AY36" t="str">
        <f t="shared" si="2"/>
        <v xml:space="preserve">1986, 1991, 1996, 1999, 2000, 2002, 2003, 2007, 2013, 2014, 2019, </v>
      </c>
    </row>
    <row r="37" spans="1:51" x14ac:dyDescent="0.2">
      <c r="A37" s="9">
        <f t="shared" ref="A37:A68" si="3">1+A36</f>
        <v>34</v>
      </c>
      <c r="B37" s="10" t="s">
        <v>74</v>
      </c>
      <c r="C37" s="17" t="s">
        <v>277</v>
      </c>
      <c r="D37" s="10" t="s">
        <v>243</v>
      </c>
      <c r="E37" s="9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 s="13"/>
      <c r="AP37" s="13"/>
      <c r="AQ37" s="13"/>
      <c r="AR37" s="13"/>
      <c r="AS37" s="13"/>
      <c r="AT37" s="13"/>
      <c r="AU37" s="2"/>
      <c r="AV37" s="2"/>
      <c r="AW37" s="2"/>
      <c r="AX37" s="2"/>
      <c r="AY37" t="str">
        <f t="shared" si="2"/>
        <v xml:space="preserve">1995, 2000, 2006, 2012, 2018, </v>
      </c>
    </row>
    <row r="38" spans="1:51" x14ac:dyDescent="0.2">
      <c r="A38" s="9">
        <f t="shared" si="3"/>
        <v>35</v>
      </c>
      <c r="B38" s="10" t="s">
        <v>75</v>
      </c>
      <c r="C38" s="17" t="s">
        <v>278</v>
      </c>
      <c r="D38" s="10" t="s">
        <v>243</v>
      </c>
      <c r="E38" s="9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 s="13"/>
      <c r="AP38" s="13"/>
      <c r="AQ38" s="13"/>
      <c r="AR38" s="13"/>
      <c r="AS38" s="13"/>
      <c r="AT38" s="13"/>
      <c r="AU38" s="2"/>
      <c r="AV38" s="2"/>
      <c r="AW38" s="2"/>
      <c r="AX38" s="2"/>
      <c r="AY38" t="str">
        <f t="shared" si="2"/>
        <v xml:space="preserve">1987, 1999, 2003, 2004, </v>
      </c>
    </row>
    <row r="39" spans="1:51" x14ac:dyDescent="0.2">
      <c r="A39" s="9">
        <f t="shared" si="3"/>
        <v>36</v>
      </c>
      <c r="B39" s="10" t="s">
        <v>76</v>
      </c>
      <c r="C39" s="17" t="s">
        <v>279</v>
      </c>
      <c r="D39" s="10" t="s">
        <v>243</v>
      </c>
      <c r="E39" s="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2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 s="13"/>
      <c r="AP39" s="13">
        <v>1</v>
      </c>
      <c r="AQ39" s="13"/>
      <c r="AR39" s="13"/>
      <c r="AS39" s="13"/>
      <c r="AT39" s="13"/>
      <c r="AU39" s="2"/>
      <c r="AV39" s="2"/>
      <c r="AW39" s="2"/>
      <c r="AX39" s="2"/>
      <c r="AY39" t="str">
        <f t="shared" si="2"/>
        <v xml:space="preserve">1988, 1992, 2000, 2005, 2008, 2014, 2021, </v>
      </c>
    </row>
    <row r="40" spans="1:51" ht="20" customHeight="1" x14ac:dyDescent="0.2">
      <c r="A40" s="9">
        <f t="shared" si="3"/>
        <v>37</v>
      </c>
      <c r="B40" s="10" t="s">
        <v>77</v>
      </c>
      <c r="C40" s="17" t="s">
        <v>280</v>
      </c>
      <c r="D40" s="10" t="s">
        <v>243</v>
      </c>
      <c r="E40" s="9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 s="13"/>
      <c r="AP40" s="13"/>
      <c r="AQ40" s="13"/>
      <c r="AR40" s="13"/>
      <c r="AS40" s="13"/>
      <c r="AT40" s="13"/>
      <c r="AU40" s="2"/>
      <c r="AV40" s="2"/>
      <c r="AW40" s="2"/>
      <c r="AX40" s="2"/>
      <c r="AY40" t="str">
        <f t="shared" si="2"/>
        <v xml:space="preserve">1995, 2002, </v>
      </c>
    </row>
    <row r="41" spans="1:51" x14ac:dyDescent="0.2">
      <c r="A41" s="9">
        <f t="shared" si="3"/>
        <v>38</v>
      </c>
      <c r="B41" s="10" t="s">
        <v>78</v>
      </c>
      <c r="C41" s="18" t="s">
        <v>281</v>
      </c>
      <c r="D41" s="10" t="s">
        <v>243</v>
      </c>
      <c r="E41" s="9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1</v>
      </c>
      <c r="Y41">
        <v>0</v>
      </c>
      <c r="Z41">
        <v>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 s="13"/>
      <c r="AP41" s="13"/>
      <c r="AQ41" s="13"/>
      <c r="AR41" s="13"/>
      <c r="AS41" s="13"/>
      <c r="AT41" s="13"/>
      <c r="AU41" s="2"/>
      <c r="AV41" s="2"/>
      <c r="AW41" s="2"/>
      <c r="AX41" s="2"/>
      <c r="AY41" t="str">
        <f t="shared" si="2"/>
        <v xml:space="preserve">1995, 2000, 2003, 2005, 2011, 2016, </v>
      </c>
    </row>
    <row r="42" spans="1:51" ht="20.5" customHeight="1" x14ac:dyDescent="0.2">
      <c r="A42" s="9">
        <f t="shared" si="3"/>
        <v>39</v>
      </c>
      <c r="B42" s="10" t="s">
        <v>79</v>
      </c>
      <c r="C42" s="18" t="s">
        <v>282</v>
      </c>
      <c r="D42" s="10" t="s">
        <v>243</v>
      </c>
      <c r="E42" s="9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 s="13"/>
      <c r="AP42" s="13"/>
      <c r="AQ42" s="13"/>
      <c r="AR42" s="13"/>
      <c r="AS42" s="13"/>
      <c r="AT42" s="13"/>
      <c r="AU42" s="2"/>
      <c r="AV42" s="2"/>
      <c r="AW42" s="2"/>
      <c r="AX42" s="2"/>
      <c r="AY42" t="str">
        <f t="shared" si="2"/>
        <v/>
      </c>
    </row>
    <row r="43" spans="1:51" x14ac:dyDescent="0.2">
      <c r="A43" s="9">
        <f t="shared" si="3"/>
        <v>40</v>
      </c>
      <c r="B43" s="10" t="s">
        <v>80</v>
      </c>
      <c r="C43" s="18" t="s">
        <v>283</v>
      </c>
      <c r="D43" s="10" t="s">
        <v>243</v>
      </c>
      <c r="E43" s="9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 s="13"/>
      <c r="AP43" s="13"/>
      <c r="AQ43" s="13"/>
      <c r="AR43" s="13"/>
      <c r="AS43" s="13"/>
      <c r="AT43" s="13"/>
      <c r="AU43" s="2"/>
      <c r="AV43" s="2"/>
      <c r="AW43" s="2"/>
      <c r="AX43" s="2"/>
      <c r="AY43" t="str">
        <f t="shared" si="2"/>
        <v/>
      </c>
    </row>
    <row r="44" spans="1:51" x14ac:dyDescent="0.2">
      <c r="A44" s="9">
        <f t="shared" si="3"/>
        <v>41</v>
      </c>
      <c r="B44" s="10" t="s">
        <v>81</v>
      </c>
      <c r="C44" s="18" t="s">
        <v>284</v>
      </c>
      <c r="D44" s="10" t="s">
        <v>243</v>
      </c>
      <c r="E44" s="9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 s="13"/>
      <c r="AP44" s="13"/>
      <c r="AQ44" s="13"/>
      <c r="AR44" s="13"/>
      <c r="AS44" s="13"/>
      <c r="AT44" s="13"/>
      <c r="AU44" s="2"/>
      <c r="AV44" s="2"/>
      <c r="AW44" s="2"/>
      <c r="AX44" s="2"/>
      <c r="AY44" t="str">
        <f t="shared" si="2"/>
        <v xml:space="preserve">1996, 2000, 2012, 2019, </v>
      </c>
    </row>
    <row r="45" spans="1:51" x14ac:dyDescent="0.2">
      <c r="A45" s="9">
        <f t="shared" si="3"/>
        <v>42</v>
      </c>
      <c r="B45" s="10" t="s">
        <v>82</v>
      </c>
      <c r="C45" s="18" t="s">
        <v>285</v>
      </c>
      <c r="D45" s="10" t="s">
        <v>243</v>
      </c>
      <c r="E45" s="9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1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1</v>
      </c>
      <c r="AN45">
        <v>0</v>
      </c>
      <c r="AO45" s="13"/>
      <c r="AP45" s="13"/>
      <c r="AQ45" s="13"/>
      <c r="AR45" s="13"/>
      <c r="AS45" s="13"/>
      <c r="AT45" s="13"/>
      <c r="AU45" s="2"/>
      <c r="AV45" s="2"/>
      <c r="AW45" s="2"/>
      <c r="AX45" s="2"/>
      <c r="AY45" t="str">
        <f t="shared" si="2"/>
        <v xml:space="preserve">1999, 2003, 2005, 2018, </v>
      </c>
    </row>
    <row r="46" spans="1:51" x14ac:dyDescent="0.2">
      <c r="A46" s="9">
        <f t="shared" si="3"/>
        <v>43</v>
      </c>
      <c r="B46" s="10" t="s">
        <v>83</v>
      </c>
      <c r="C46" s="18" t="s">
        <v>286</v>
      </c>
      <c r="D46" s="10" t="s">
        <v>243</v>
      </c>
      <c r="E46" s="9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1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2</v>
      </c>
      <c r="Y46">
        <v>0</v>
      </c>
      <c r="Z46">
        <v>0</v>
      </c>
      <c r="AA46">
        <v>1</v>
      </c>
      <c r="AB46">
        <v>0</v>
      </c>
      <c r="AC46">
        <v>1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1</v>
      </c>
      <c r="AJ46">
        <v>0</v>
      </c>
      <c r="AK46">
        <v>0</v>
      </c>
      <c r="AL46">
        <v>1</v>
      </c>
      <c r="AM46">
        <v>0</v>
      </c>
      <c r="AN46">
        <v>0</v>
      </c>
      <c r="AO46" s="13"/>
      <c r="AP46" s="13"/>
      <c r="AQ46" s="13"/>
      <c r="AR46" s="13"/>
      <c r="AS46" s="13"/>
      <c r="AT46" s="13"/>
      <c r="AU46" s="2"/>
      <c r="AV46" s="2"/>
      <c r="AW46" s="2"/>
      <c r="AX46" s="2"/>
      <c r="AY46" t="str">
        <f t="shared" si="2"/>
        <v xml:space="preserve">1988, 1994, 1995, 1999, 2006, 2008, 2011, 2014, 2017, </v>
      </c>
    </row>
    <row r="47" spans="1:51" x14ac:dyDescent="0.2">
      <c r="A47" s="9">
        <f t="shared" si="3"/>
        <v>44</v>
      </c>
      <c r="B47" s="10" t="s">
        <v>84</v>
      </c>
      <c r="C47" s="18" t="s">
        <v>287</v>
      </c>
      <c r="D47" s="10" t="s">
        <v>243</v>
      </c>
      <c r="E47" s="9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1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1</v>
      </c>
      <c r="AN47">
        <v>0</v>
      </c>
      <c r="AO47" s="13"/>
      <c r="AP47" s="13"/>
      <c r="AQ47" s="13"/>
      <c r="AR47" s="13"/>
      <c r="AS47" s="13"/>
      <c r="AT47" s="13"/>
      <c r="AU47" s="2"/>
      <c r="AV47" s="2"/>
      <c r="AW47" s="2"/>
      <c r="AX47" s="2"/>
      <c r="AY47" t="str">
        <f t="shared" si="2"/>
        <v xml:space="preserve">1996, 1999, 2005, 2012, 2016, 2018, </v>
      </c>
    </row>
    <row r="48" spans="1:51" x14ac:dyDescent="0.2">
      <c r="A48" s="9">
        <f t="shared" si="3"/>
        <v>45</v>
      </c>
      <c r="B48" s="10" t="s">
        <v>85</v>
      </c>
      <c r="C48" s="18" t="s">
        <v>288</v>
      </c>
      <c r="D48" s="10" t="s">
        <v>243</v>
      </c>
      <c r="E48" s="9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1</v>
      </c>
      <c r="AN48">
        <v>1</v>
      </c>
      <c r="AO48" s="13"/>
      <c r="AP48" s="13"/>
      <c r="AQ48" s="13"/>
      <c r="AR48" s="13"/>
      <c r="AS48" s="13"/>
      <c r="AT48" s="13"/>
      <c r="AU48" s="2"/>
      <c r="AV48" s="2"/>
      <c r="AW48" s="2"/>
      <c r="AX48" s="2"/>
      <c r="AY48" t="str">
        <f t="shared" si="2"/>
        <v xml:space="preserve">1996, 2000, 2005, 2010, 2013, 2018, 2019, </v>
      </c>
    </row>
    <row r="49" spans="1:51" x14ac:dyDescent="0.2">
      <c r="A49" s="9">
        <f t="shared" si="3"/>
        <v>46</v>
      </c>
      <c r="B49" s="10" t="s">
        <v>86</v>
      </c>
      <c r="C49" s="18" t="s">
        <v>289</v>
      </c>
      <c r="D49" s="10" t="s">
        <v>243</v>
      </c>
      <c r="E49" s="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0</v>
      </c>
      <c r="AH49">
        <v>0</v>
      </c>
      <c r="AI49">
        <v>1</v>
      </c>
      <c r="AJ49">
        <v>0</v>
      </c>
      <c r="AK49">
        <v>0</v>
      </c>
      <c r="AL49">
        <v>0</v>
      </c>
      <c r="AM49">
        <v>1</v>
      </c>
      <c r="AN49">
        <v>0</v>
      </c>
      <c r="AO49" s="13"/>
      <c r="AP49" s="13"/>
      <c r="AQ49" s="13"/>
      <c r="AR49" s="13"/>
      <c r="AS49" s="13"/>
      <c r="AT49" s="13"/>
      <c r="AU49" s="2"/>
      <c r="AV49" s="2"/>
      <c r="AW49" s="2"/>
      <c r="AX49" s="2"/>
      <c r="AY49" t="str">
        <f t="shared" si="2"/>
        <v xml:space="preserve">1996, 2002, 2006, 2010, 2014, 2018, </v>
      </c>
    </row>
    <row r="50" spans="1:51" x14ac:dyDescent="0.2">
      <c r="A50" s="9">
        <f t="shared" si="3"/>
        <v>47</v>
      </c>
      <c r="B50" s="10" t="s">
        <v>87</v>
      </c>
      <c r="C50" s="17" t="s">
        <v>290</v>
      </c>
      <c r="D50" s="10" t="s">
        <v>243</v>
      </c>
      <c r="E50" s="9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 s="13"/>
      <c r="AP50" s="13"/>
      <c r="AQ50" s="13"/>
      <c r="AR50" s="13"/>
      <c r="AS50" s="13"/>
      <c r="AT50" s="13"/>
      <c r="AU50" s="2"/>
      <c r="AV50" s="2"/>
      <c r="AW50" s="2"/>
      <c r="AX50" s="2"/>
      <c r="AY50" t="str">
        <f t="shared" si="2"/>
        <v xml:space="preserve">2000, 2011, </v>
      </c>
    </row>
    <row r="51" spans="1:51" x14ac:dyDescent="0.2">
      <c r="A51" s="9">
        <f t="shared" si="3"/>
        <v>48</v>
      </c>
      <c r="B51" s="10" t="s">
        <v>88</v>
      </c>
      <c r="C51" s="18" t="s">
        <v>291</v>
      </c>
      <c r="D51" s="10" t="s">
        <v>243</v>
      </c>
      <c r="E51" s="9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 s="13"/>
      <c r="AP51" s="13"/>
      <c r="AQ51" s="13"/>
      <c r="AR51" s="13"/>
      <c r="AS51" s="13"/>
      <c r="AT51" s="13"/>
      <c r="AU51" s="2"/>
      <c r="AV51" s="2"/>
      <c r="AW51" s="2"/>
      <c r="AX51" s="2"/>
      <c r="AY51" t="str">
        <f t="shared" si="2"/>
        <v/>
      </c>
    </row>
    <row r="52" spans="1:51" x14ac:dyDescent="0.2">
      <c r="A52" s="9">
        <f t="shared" si="3"/>
        <v>49</v>
      </c>
      <c r="B52" s="10" t="s">
        <v>89</v>
      </c>
      <c r="C52" s="18" t="s">
        <v>292</v>
      </c>
      <c r="D52" s="10" t="s">
        <v>243</v>
      </c>
      <c r="E52" s="9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0</v>
      </c>
      <c r="AN52">
        <v>0</v>
      </c>
      <c r="AO52" s="13"/>
      <c r="AP52" s="13"/>
      <c r="AQ52" s="13"/>
      <c r="AR52" s="13"/>
      <c r="AS52" s="13"/>
      <c r="AT52" s="13"/>
      <c r="AU52" s="2"/>
      <c r="AV52" s="2"/>
      <c r="AW52" s="2"/>
      <c r="AX52" s="2"/>
      <c r="AY52" t="str">
        <f t="shared" si="2"/>
        <v xml:space="preserve">1987, 1995, 2003, 2014, </v>
      </c>
    </row>
    <row r="53" spans="1:51" x14ac:dyDescent="0.2">
      <c r="A53" s="9">
        <f t="shared" si="3"/>
        <v>50</v>
      </c>
      <c r="B53" s="10" t="s">
        <v>90</v>
      </c>
      <c r="C53" s="18" t="s">
        <v>293</v>
      </c>
      <c r="D53" s="10" t="s">
        <v>243</v>
      </c>
      <c r="E53" s="9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  <c r="AM53">
        <v>0</v>
      </c>
      <c r="AN53">
        <v>1</v>
      </c>
      <c r="AO53" s="13"/>
      <c r="AP53" s="13"/>
      <c r="AQ53" s="13"/>
      <c r="AR53" s="13"/>
      <c r="AS53" s="13"/>
      <c r="AT53" s="13"/>
      <c r="AU53" s="2"/>
      <c r="AV53" s="2"/>
      <c r="AW53" s="2"/>
      <c r="AX53" s="2"/>
      <c r="AY53" t="str">
        <f t="shared" si="2"/>
        <v xml:space="preserve">2000, 2006, 2009, 2014, 2019, </v>
      </c>
    </row>
    <row r="54" spans="1:51" x14ac:dyDescent="0.2">
      <c r="A54" s="9">
        <f t="shared" si="3"/>
        <v>51</v>
      </c>
      <c r="B54" s="10" t="s">
        <v>91</v>
      </c>
      <c r="C54" s="18" t="s">
        <v>294</v>
      </c>
      <c r="D54" s="10" t="s">
        <v>243</v>
      </c>
      <c r="E54" s="9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 s="13"/>
      <c r="AP54" s="13"/>
      <c r="AQ54" s="13"/>
      <c r="AR54" s="13"/>
      <c r="AS54" s="13"/>
      <c r="AT54" s="13"/>
      <c r="AU54" s="2"/>
      <c r="AV54" s="2"/>
      <c r="AW54" s="2"/>
      <c r="AX54" s="2"/>
      <c r="AY54" t="str">
        <f t="shared" si="2"/>
        <v xml:space="preserve">2005, 2011, 2019, </v>
      </c>
    </row>
    <row r="55" spans="1:51" s="23" customFormat="1" x14ac:dyDescent="0.2">
      <c r="A55" s="20">
        <f t="shared" si="3"/>
        <v>52</v>
      </c>
      <c r="B55" s="21" t="s">
        <v>92</v>
      </c>
      <c r="C55" s="22" t="s">
        <v>295</v>
      </c>
      <c r="D55" s="10" t="s">
        <v>243</v>
      </c>
      <c r="E55" s="9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0</v>
      </c>
      <c r="AK55">
        <v>0</v>
      </c>
      <c r="AL55">
        <v>0</v>
      </c>
      <c r="AM55">
        <v>0</v>
      </c>
      <c r="AN55">
        <v>1</v>
      </c>
      <c r="AO55" s="19"/>
      <c r="AP55" s="19"/>
      <c r="AQ55" s="19"/>
      <c r="AR55" s="19"/>
      <c r="AS55" s="19"/>
      <c r="AT55" s="19"/>
      <c r="AU55" s="22"/>
      <c r="AV55" s="22"/>
      <c r="AW55" s="22"/>
      <c r="AX55" s="22"/>
      <c r="AY55" t="str">
        <f t="shared" si="2"/>
        <v xml:space="preserve">1996, 2014, 2019, </v>
      </c>
    </row>
    <row r="56" spans="1:51" x14ac:dyDescent="0.2">
      <c r="A56" s="9">
        <f t="shared" si="3"/>
        <v>53</v>
      </c>
      <c r="B56" s="10" t="s">
        <v>93</v>
      </c>
      <c r="C56" s="18" t="s">
        <v>296</v>
      </c>
      <c r="D56" s="10" t="s">
        <v>243</v>
      </c>
      <c r="E56" s="9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 s="13"/>
      <c r="AP56" s="13"/>
      <c r="AQ56" s="13"/>
      <c r="AR56" s="13"/>
      <c r="AS56" s="13"/>
      <c r="AT56" s="13"/>
      <c r="AU56" s="2"/>
      <c r="AV56" s="2"/>
      <c r="AW56" s="2"/>
      <c r="AX56" s="2"/>
      <c r="AY56" t="str">
        <f t="shared" si="2"/>
        <v xml:space="preserve">1995, 2000, 2005, 2012, 2016, </v>
      </c>
    </row>
    <row r="57" spans="1:51" x14ac:dyDescent="0.2">
      <c r="A57" s="9">
        <f t="shared" si="3"/>
        <v>54</v>
      </c>
      <c r="B57" s="10" t="s">
        <v>94</v>
      </c>
      <c r="C57" s="18" t="s">
        <v>297</v>
      </c>
      <c r="D57" s="10" t="s">
        <v>243</v>
      </c>
      <c r="E57" s="9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1</v>
      </c>
      <c r="P57">
        <v>0</v>
      </c>
      <c r="Q57">
        <v>1</v>
      </c>
      <c r="R57">
        <v>1</v>
      </c>
      <c r="S57">
        <v>0</v>
      </c>
      <c r="T57">
        <v>0</v>
      </c>
      <c r="U57">
        <v>1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 s="13"/>
      <c r="AP57" s="13"/>
      <c r="AQ57" s="13"/>
      <c r="AR57" s="13"/>
      <c r="AS57" s="13"/>
      <c r="AT57" s="13"/>
      <c r="AU57" s="2"/>
      <c r="AV57" s="2"/>
      <c r="AW57" s="2"/>
      <c r="AX57" s="2"/>
      <c r="AY57" t="str">
        <f t="shared" si="2"/>
        <v xml:space="preserve">1987, 1991, 1994, 1996, 1997, 2000, 2002, 2007, 2012, 2017, </v>
      </c>
    </row>
    <row r="58" spans="1:51" x14ac:dyDescent="0.2">
      <c r="A58" s="9">
        <f t="shared" si="3"/>
        <v>55</v>
      </c>
      <c r="B58" s="10" t="s">
        <v>95</v>
      </c>
      <c r="C58" s="18" t="s">
        <v>298</v>
      </c>
      <c r="D58" s="10" t="s">
        <v>243</v>
      </c>
      <c r="E58" s="9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1</v>
      </c>
      <c r="R58">
        <v>0</v>
      </c>
      <c r="S58">
        <v>0</v>
      </c>
      <c r="T58">
        <v>1</v>
      </c>
      <c r="U58">
        <v>1</v>
      </c>
      <c r="V58">
        <v>0</v>
      </c>
      <c r="W58">
        <v>0</v>
      </c>
      <c r="X58">
        <v>1</v>
      </c>
      <c r="Y58">
        <v>0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1</v>
      </c>
      <c r="AO58" s="13"/>
      <c r="AP58" s="13"/>
      <c r="AQ58" s="13"/>
      <c r="AR58" s="13"/>
      <c r="AS58" s="13"/>
      <c r="AT58" s="13"/>
      <c r="AU58" s="2"/>
      <c r="AV58" s="2"/>
      <c r="AW58" s="2"/>
      <c r="AX58" s="2"/>
      <c r="AY58" t="str">
        <f t="shared" si="2"/>
        <v xml:space="preserve">1993, 1996, 1999, 2000, 2003, 2005, 2015, 2019, </v>
      </c>
    </row>
    <row r="59" spans="1:51" x14ac:dyDescent="0.2">
      <c r="A59" s="9">
        <f t="shared" si="3"/>
        <v>56</v>
      </c>
      <c r="B59" s="10" t="s">
        <v>96</v>
      </c>
      <c r="C59" s="18" t="s">
        <v>299</v>
      </c>
      <c r="D59" s="10" t="s">
        <v>243</v>
      </c>
      <c r="E59" s="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1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 s="13"/>
      <c r="AP59" s="13"/>
      <c r="AQ59" s="13"/>
      <c r="AR59" s="13"/>
      <c r="AS59" s="13"/>
      <c r="AT59" s="13"/>
      <c r="AU59" s="2"/>
      <c r="AV59" s="2"/>
      <c r="AW59" s="2"/>
      <c r="AX59" s="2"/>
      <c r="AY59" t="str">
        <f t="shared" si="2"/>
        <v xml:space="preserve">1995, 1997, 2000, </v>
      </c>
    </row>
    <row r="60" spans="1:51" x14ac:dyDescent="0.2">
      <c r="A60" s="9">
        <f t="shared" si="3"/>
        <v>57</v>
      </c>
      <c r="B60" s="10" t="s">
        <v>97</v>
      </c>
      <c r="C60" s="18" t="s">
        <v>300</v>
      </c>
      <c r="D60" s="10" t="s">
        <v>243</v>
      </c>
      <c r="E60" s="9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 s="13"/>
      <c r="AP60" s="13"/>
      <c r="AQ60" s="13"/>
      <c r="AR60" s="13"/>
      <c r="AS60" s="13"/>
      <c r="AT60" s="13"/>
      <c r="AU60" s="2"/>
      <c r="AV60" s="2"/>
      <c r="AW60" s="2"/>
      <c r="AX60" s="2"/>
      <c r="AY60" t="str">
        <f t="shared" si="2"/>
        <v xml:space="preserve">1996, 2000, 2006, 2011, 2018, </v>
      </c>
    </row>
    <row r="61" spans="1:51" x14ac:dyDescent="0.2">
      <c r="A61" s="9">
        <f t="shared" si="3"/>
        <v>58</v>
      </c>
      <c r="B61" s="10" t="s">
        <v>98</v>
      </c>
      <c r="C61" s="18" t="s">
        <v>301</v>
      </c>
      <c r="D61" s="10" t="s">
        <v>243</v>
      </c>
      <c r="E61" s="9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s="13"/>
      <c r="AP61" s="13"/>
      <c r="AQ61" s="13"/>
      <c r="AR61" s="13"/>
      <c r="AS61" s="13"/>
      <c r="AT61" s="13"/>
      <c r="AU61" s="2"/>
      <c r="AV61" s="2"/>
      <c r="AW61" s="2"/>
      <c r="AX61" s="2"/>
      <c r="AY61" t="str">
        <f t="shared" si="2"/>
        <v xml:space="preserve">2005, 2011, </v>
      </c>
    </row>
    <row r="62" spans="1:51" x14ac:dyDescent="0.2">
      <c r="A62" s="9">
        <f t="shared" si="3"/>
        <v>59</v>
      </c>
      <c r="B62" s="10" t="s">
        <v>99</v>
      </c>
      <c r="C62" s="18" t="s">
        <v>302</v>
      </c>
      <c r="D62" s="10" t="s">
        <v>243</v>
      </c>
      <c r="E62" s="9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 s="13"/>
      <c r="AP62" s="13"/>
      <c r="AQ62" s="13"/>
      <c r="AR62" s="13"/>
      <c r="AS62" s="13"/>
      <c r="AT62" s="13"/>
      <c r="AU62" s="2"/>
      <c r="AV62" s="2"/>
      <c r="AW62" s="2"/>
      <c r="AX62" s="2"/>
      <c r="AY62" t="str">
        <f t="shared" si="2"/>
        <v xml:space="preserve">1990, 1997, 2002, 2007, 2012, 2017, </v>
      </c>
    </row>
    <row r="63" spans="1:51" x14ac:dyDescent="0.2">
      <c r="A63" s="9">
        <f t="shared" si="3"/>
        <v>60</v>
      </c>
      <c r="B63" s="10" t="s">
        <v>100</v>
      </c>
      <c r="C63" s="18" t="s">
        <v>303</v>
      </c>
      <c r="D63" s="10" t="s">
        <v>243</v>
      </c>
      <c r="E63" s="9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 s="13"/>
      <c r="AP63" s="13"/>
      <c r="AQ63" s="13"/>
      <c r="AR63" s="13"/>
      <c r="AS63" s="13"/>
      <c r="AT63" s="13"/>
      <c r="AU63" s="2"/>
      <c r="AV63" s="2"/>
      <c r="AW63" s="2"/>
      <c r="AX63" s="2"/>
      <c r="AY63" t="str">
        <f t="shared" si="2"/>
        <v xml:space="preserve">1995, 1999, 2003, 2006, 2010, 2015, </v>
      </c>
    </row>
    <row r="64" spans="1:51" x14ac:dyDescent="0.2">
      <c r="A64" s="9">
        <f t="shared" si="3"/>
        <v>61</v>
      </c>
      <c r="B64" s="10" t="s">
        <v>101</v>
      </c>
      <c r="C64" s="18" t="s">
        <v>304</v>
      </c>
      <c r="D64" s="10" t="s">
        <v>243</v>
      </c>
      <c r="E64" s="9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1</v>
      </c>
      <c r="T64">
        <v>0</v>
      </c>
      <c r="U64">
        <v>1</v>
      </c>
      <c r="V64">
        <v>0</v>
      </c>
      <c r="W64">
        <v>0</v>
      </c>
      <c r="X64">
        <v>2</v>
      </c>
      <c r="Y64">
        <v>0</v>
      </c>
      <c r="Z64">
        <v>0</v>
      </c>
      <c r="AA64">
        <v>0</v>
      </c>
      <c r="AB64">
        <v>0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  <c r="AM64">
        <v>0</v>
      </c>
      <c r="AN64">
        <v>0</v>
      </c>
      <c r="AO64" s="13"/>
      <c r="AP64" s="13"/>
      <c r="AQ64" s="13"/>
      <c r="AR64" s="13"/>
      <c r="AS64" s="13"/>
      <c r="AT64" s="13"/>
      <c r="AU64" s="2"/>
      <c r="AV64" s="2"/>
      <c r="AW64" s="2"/>
      <c r="AX64" s="2"/>
      <c r="AY64" t="str">
        <f t="shared" si="2"/>
        <v xml:space="preserve">1989, 1993, 1998, 2000, 2008, 2014, </v>
      </c>
    </row>
    <row r="65" spans="1:51" x14ac:dyDescent="0.2">
      <c r="A65" s="9">
        <f t="shared" si="3"/>
        <v>62</v>
      </c>
      <c r="B65" s="10" t="s">
        <v>102</v>
      </c>
      <c r="C65" s="18" t="s">
        <v>305</v>
      </c>
      <c r="D65" s="10" t="s">
        <v>243</v>
      </c>
      <c r="E65" s="9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1</v>
      </c>
      <c r="AJ65">
        <v>0</v>
      </c>
      <c r="AK65">
        <v>0</v>
      </c>
      <c r="AL65">
        <v>0</v>
      </c>
      <c r="AM65">
        <v>1</v>
      </c>
      <c r="AN65">
        <v>0</v>
      </c>
      <c r="AO65" s="13"/>
      <c r="AP65" s="13"/>
      <c r="AQ65" s="13"/>
      <c r="AR65" s="13"/>
      <c r="AS65" s="13"/>
      <c r="AT65" s="13"/>
      <c r="AU65" s="2"/>
      <c r="AV65" s="2"/>
      <c r="AW65" s="2"/>
      <c r="AX65" s="2"/>
      <c r="AY65" t="str">
        <f t="shared" si="2"/>
        <v xml:space="preserve">1995, 1997, 2005, 2012, 2014, 2018, </v>
      </c>
    </row>
    <row r="66" spans="1:51" x14ac:dyDescent="0.2">
      <c r="A66" s="9">
        <f t="shared" si="3"/>
        <v>63</v>
      </c>
      <c r="B66" s="10" t="s">
        <v>103</v>
      </c>
      <c r="C66" s="17" t="s">
        <v>306</v>
      </c>
      <c r="D66" s="10" t="s">
        <v>243</v>
      </c>
      <c r="E66" s="9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 s="13"/>
      <c r="AP66" s="13"/>
      <c r="AQ66" s="13"/>
      <c r="AR66" s="13"/>
      <c r="AS66" s="13"/>
      <c r="AT66" s="13"/>
      <c r="AU66" s="2"/>
      <c r="AV66" s="2"/>
      <c r="AW66" s="2"/>
      <c r="AX66" s="2"/>
      <c r="AY66" t="str">
        <f t="shared" si="2"/>
        <v xml:space="preserve">1998, 2000, 2005, 2010, 2014, </v>
      </c>
    </row>
    <row r="67" spans="1:51" x14ac:dyDescent="0.2">
      <c r="A67" s="9">
        <f t="shared" si="3"/>
        <v>64</v>
      </c>
      <c r="B67" s="10" t="s">
        <v>104</v>
      </c>
      <c r="C67" s="18" t="s">
        <v>307</v>
      </c>
      <c r="D67" s="10" t="s">
        <v>243</v>
      </c>
      <c r="E67" s="9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0</v>
      </c>
      <c r="AI67">
        <v>1</v>
      </c>
      <c r="AJ67">
        <v>0</v>
      </c>
      <c r="AK67">
        <v>0</v>
      </c>
      <c r="AL67">
        <v>0</v>
      </c>
      <c r="AM67">
        <v>1</v>
      </c>
      <c r="AN67">
        <v>0</v>
      </c>
      <c r="AO67" s="13"/>
      <c r="AP67" s="13"/>
      <c r="AQ67" s="13"/>
      <c r="AR67" s="13"/>
      <c r="AS67" s="13"/>
      <c r="AT67" s="13"/>
      <c r="AU67" s="2"/>
      <c r="AV67" s="2"/>
      <c r="AW67" s="2"/>
      <c r="AX67" s="2"/>
      <c r="AY67" t="str">
        <f t="shared" si="2"/>
        <v xml:space="preserve">2009, 2014, 2018, </v>
      </c>
    </row>
    <row r="68" spans="1:51" x14ac:dyDescent="0.2">
      <c r="A68" s="9">
        <f t="shared" si="3"/>
        <v>65</v>
      </c>
      <c r="B68" s="10" t="s">
        <v>105</v>
      </c>
      <c r="C68" s="18" t="s">
        <v>308</v>
      </c>
      <c r="D68" s="10" t="s">
        <v>243</v>
      </c>
      <c r="E68" s="9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 s="13"/>
      <c r="AP68" s="13"/>
      <c r="AQ68" s="13"/>
      <c r="AR68" s="13"/>
      <c r="AS68" s="13"/>
      <c r="AT68" s="13"/>
      <c r="AU68" s="2"/>
      <c r="AV68" s="2"/>
      <c r="AW68" s="2"/>
      <c r="AX68" s="2"/>
      <c r="AY68" t="str">
        <f t="shared" si="2"/>
        <v/>
      </c>
    </row>
    <row r="69" spans="1:51" x14ac:dyDescent="0.2">
      <c r="A69" s="9">
        <f t="shared" ref="A69:A100" si="4">1+A68</f>
        <v>66</v>
      </c>
      <c r="B69" s="10" t="s">
        <v>106</v>
      </c>
      <c r="C69" s="18" t="s">
        <v>309</v>
      </c>
      <c r="D69" s="10" t="s">
        <v>243</v>
      </c>
      <c r="E69" s="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0</v>
      </c>
      <c r="AO69" s="13"/>
      <c r="AP69" s="13"/>
      <c r="AQ69" s="13"/>
      <c r="AR69" s="13"/>
      <c r="AS69" s="13"/>
      <c r="AT69" s="13"/>
      <c r="AU69" s="2"/>
      <c r="AV69" s="2"/>
      <c r="AW69" s="2"/>
      <c r="AX69" s="2"/>
      <c r="AY69" t="str">
        <f t="shared" ref="AY69:AY132" si="5">+IF($F69=1,RIGHT(F$3,4)&amp;", ","")&amp;IF($G69=1,RIGHT(G$3,4)&amp;", ","")&amp;IF($H69=1,RIGHT(H$3,4)&amp;", ","")&amp;IF($I69=1,RIGHT(I$3,4)&amp;", ","")&amp;IF($J69=1,RIGHT(J$3,4)&amp;", ","")&amp;IF($K69=1,RIGHT(K$3,4)&amp;", ","")&amp;IF($L69=1,RIGHT(L$3,4)&amp;", ","")&amp;IF($M69=1,RIGHT(M$3,4)&amp;", ","")&amp;IF($N69=1,RIGHT(N$3,4)&amp;", ","")&amp;IF($O69=1,RIGHT(O$3,4)&amp;", ","")&amp;IF($P69=1,RIGHT(P$3,4)&amp;", ","")&amp;IF($Q69=1,RIGHT(Q$3,4)&amp;", ","")&amp;IF($R69=1,RIGHT(R$3,4)&amp;", ","")&amp;IF($S69=1,RIGHT(S$3,4)&amp;", ","")&amp;IF($T69=1,RIGHT(T$3,4)&amp;", ","")&amp;IF($U69=1,RIGHT(U$3,4)&amp;", ","")&amp;IF($V69=1,RIGHT(V$3,4)&amp;", ","")&amp;IF($W69=1,RIGHT(W$3,4)&amp;", ","")&amp;IF($X69=1,RIGHT(X$3,4)&amp;", ","")&amp;IF($Y69=1,RIGHT(Y$3,4)&amp;", ","")&amp;IF($Z69=1,RIGHT(Z$3,4)&amp;", ","")&amp;IF($AA69=1,RIGHT(AA$3,4)&amp;", ","")&amp;IF($AB69=1,RIGHT(AB$3,4)&amp;", ","")&amp;IF($AC69=1,RIGHT(AC$3,4)&amp;", ","")&amp;IF($AD69=1,RIGHT(AD$3,4)&amp;", ","")&amp;IF($AE69=1,RIGHT(AE$3,4)&amp;", ","")&amp;IF($AF69=1,RIGHT(AF$3,4)&amp;", ","")&amp;IF($AG69=1,RIGHT(AG$3,4)&amp;", ","")&amp;IF($AH69=1,RIGHT(AH$3,4)&amp;", ","")&amp;IF($AI69=1,RIGHT(AI$3,4)&amp;", ","")&amp;IF($AJ69=1,RIGHT(AJ$3,4)&amp;", ","")&amp;IF($AK69=1,RIGHT(AK$3,4)&amp;", ","")&amp;IF($AL69=1,RIGHT(AL$3,4)&amp;", ","")&amp;IF($AM69=1,RIGHT(AM$3,4)&amp;", ","")&amp;IF($AN69=1,RIGHT(AN$3,4)&amp;", ","")&amp;IF($AO69=1,RIGHT(AO$3,4)&amp;", ","")&amp;IF($AP69=1,RIGHT(AP$3,4)&amp;", ","")&amp;IF($AQ69=1,RIGHT(AQ$3,4)&amp;", ","")&amp;IF($AR69=1,RIGHT(AR$3,4)&amp;", ","")&amp;IF($AS69=1,RIGHT(AS$3,4)&amp;", ","")&amp;IF($AT69=1,RIGHT(AT$3,4)&amp;", ","")</f>
        <v xml:space="preserve">1996, 2000, 2003, 2006, 2011, 2017, </v>
      </c>
    </row>
    <row r="70" spans="1:51" x14ac:dyDescent="0.2">
      <c r="A70" s="9">
        <f t="shared" si="4"/>
        <v>67</v>
      </c>
      <c r="B70" s="10" t="s">
        <v>107</v>
      </c>
      <c r="C70" s="18" t="s">
        <v>310</v>
      </c>
      <c r="D70" s="10" t="s">
        <v>243</v>
      </c>
      <c r="E70" s="9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s="13"/>
      <c r="AP70" s="13"/>
      <c r="AQ70" s="13"/>
      <c r="AR70" s="13"/>
      <c r="AS70" s="13"/>
      <c r="AT70" s="13"/>
      <c r="AU70" s="2"/>
      <c r="AV70" s="2"/>
      <c r="AW70" s="2"/>
      <c r="AX70" s="2"/>
      <c r="AY70" t="str">
        <f t="shared" si="5"/>
        <v xml:space="preserve">2000, 2006, </v>
      </c>
    </row>
    <row r="71" spans="1:51" x14ac:dyDescent="0.2">
      <c r="A71" s="9">
        <f t="shared" si="4"/>
        <v>68</v>
      </c>
      <c r="B71" s="10" t="s">
        <v>108</v>
      </c>
      <c r="C71" s="18" t="s">
        <v>311</v>
      </c>
      <c r="D71" s="10" t="s">
        <v>243</v>
      </c>
      <c r="E71" s="9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 s="13"/>
      <c r="AP71" s="13"/>
      <c r="AQ71" s="13"/>
      <c r="AR71" s="13"/>
      <c r="AS71" s="13"/>
      <c r="AT71" s="13"/>
      <c r="AU71" s="2"/>
      <c r="AV71" s="2"/>
      <c r="AW71" s="2"/>
      <c r="AX71" s="2"/>
      <c r="AY71" t="str">
        <f t="shared" si="5"/>
        <v xml:space="preserve">1986, 1995, 2007, 2013, 2019, </v>
      </c>
    </row>
    <row r="72" spans="1:51" x14ac:dyDescent="0.2">
      <c r="A72" s="9">
        <f t="shared" si="4"/>
        <v>69</v>
      </c>
      <c r="B72" s="10" t="s">
        <v>109</v>
      </c>
      <c r="C72" s="18" t="s">
        <v>312</v>
      </c>
      <c r="D72" s="10" t="s">
        <v>243</v>
      </c>
      <c r="E72" s="9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s="13"/>
      <c r="AP72" s="13"/>
      <c r="AQ72" s="13"/>
      <c r="AR72" s="13"/>
      <c r="AS72" s="13"/>
      <c r="AT72" s="13"/>
      <c r="AU72" s="2"/>
      <c r="AV72" s="2"/>
      <c r="AW72" s="2"/>
      <c r="AX72" s="2"/>
      <c r="AY72" t="str">
        <f t="shared" si="5"/>
        <v xml:space="preserve">2003, </v>
      </c>
    </row>
    <row r="73" spans="1:51" x14ac:dyDescent="0.2">
      <c r="A73" s="9">
        <f t="shared" si="4"/>
        <v>70</v>
      </c>
      <c r="B73" s="10" t="s">
        <v>110</v>
      </c>
      <c r="C73" s="18" t="s">
        <v>313</v>
      </c>
      <c r="D73" s="10" t="s">
        <v>243</v>
      </c>
      <c r="E73" s="9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s="13"/>
      <c r="AP73" s="13"/>
      <c r="AQ73" s="13"/>
      <c r="AR73" s="13"/>
      <c r="AS73" s="13"/>
      <c r="AT73" s="13"/>
      <c r="AU73" s="2"/>
      <c r="AV73" s="2"/>
      <c r="AW73" s="2"/>
      <c r="AX73" s="2"/>
      <c r="AY73" t="str">
        <f t="shared" si="5"/>
        <v xml:space="preserve">2012, </v>
      </c>
    </row>
    <row r="74" spans="1:51" x14ac:dyDescent="0.2">
      <c r="A74" s="9">
        <f t="shared" si="4"/>
        <v>71</v>
      </c>
      <c r="B74" s="10" t="s">
        <v>111</v>
      </c>
      <c r="C74" s="18" t="s">
        <v>314</v>
      </c>
      <c r="D74" s="10" t="s">
        <v>243</v>
      </c>
      <c r="E74" s="9">
        <v>0</v>
      </c>
      <c r="F74"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 s="13"/>
      <c r="AP74" s="13"/>
      <c r="AQ74" s="13"/>
      <c r="AR74" s="13"/>
      <c r="AS74" s="13"/>
      <c r="AT74" s="13"/>
      <c r="AU74" s="2"/>
      <c r="AV74" s="2"/>
      <c r="AW74" s="2"/>
      <c r="AX74" s="2"/>
      <c r="AY74" t="str">
        <f t="shared" si="5"/>
        <v xml:space="preserve">1987, 2006, </v>
      </c>
    </row>
    <row r="75" spans="1:51" x14ac:dyDescent="0.2">
      <c r="A75" s="9">
        <f t="shared" si="4"/>
        <v>72</v>
      </c>
      <c r="B75" s="10" t="s">
        <v>112</v>
      </c>
      <c r="C75" s="18" t="s">
        <v>315</v>
      </c>
      <c r="D75" s="10" t="s">
        <v>243</v>
      </c>
      <c r="E75" s="9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>
        <v>0</v>
      </c>
      <c r="Y75">
        <v>1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0</v>
      </c>
      <c r="AK75">
        <v>0</v>
      </c>
      <c r="AL75">
        <v>0</v>
      </c>
      <c r="AM75">
        <v>1</v>
      </c>
      <c r="AN75">
        <v>0</v>
      </c>
      <c r="AO75" s="13"/>
      <c r="AP75" s="13"/>
      <c r="AQ75" s="13"/>
      <c r="AR75" s="13"/>
      <c r="AS75" s="13"/>
      <c r="AT75" s="13"/>
      <c r="AU75" s="2"/>
      <c r="AV75" s="2"/>
      <c r="AW75" s="2"/>
      <c r="AX75" s="2"/>
      <c r="AY75" t="str">
        <f t="shared" si="5"/>
        <v xml:space="preserve">1996, 2000, 2004, 2009, 2014, 2018, </v>
      </c>
    </row>
    <row r="76" spans="1:51" x14ac:dyDescent="0.2">
      <c r="A76" s="9">
        <f t="shared" si="4"/>
        <v>73</v>
      </c>
      <c r="B76" s="10" t="s">
        <v>113</v>
      </c>
      <c r="C76" s="18" t="s">
        <v>316</v>
      </c>
      <c r="D76" s="10" t="s">
        <v>243</v>
      </c>
      <c r="E76" s="9">
        <v>0</v>
      </c>
      <c r="F76">
        <v>0</v>
      </c>
      <c r="G76">
        <v>0</v>
      </c>
      <c r="H76">
        <v>1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 s="13"/>
      <c r="AP76" s="13"/>
      <c r="AQ76" s="13"/>
      <c r="AR76" s="13"/>
      <c r="AS76" s="13"/>
      <c r="AT76" s="13"/>
      <c r="AU76" s="2"/>
      <c r="AV76" s="2"/>
      <c r="AW76" s="2"/>
      <c r="AX76" s="2"/>
      <c r="AY76" t="str">
        <f t="shared" si="5"/>
        <v xml:space="preserve">1987, 1992, 1995, 2003, 2006, </v>
      </c>
    </row>
    <row r="77" spans="1:51" x14ac:dyDescent="0.2">
      <c r="A77" s="9">
        <f t="shared" si="4"/>
        <v>74</v>
      </c>
      <c r="B77" s="10" t="s">
        <v>114</v>
      </c>
      <c r="C77" s="18" t="s">
        <v>317</v>
      </c>
      <c r="D77" s="10" t="s">
        <v>243</v>
      </c>
      <c r="E77" s="9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0</v>
      </c>
      <c r="W77">
        <v>0</v>
      </c>
      <c r="X77">
        <v>0</v>
      </c>
      <c r="Y77">
        <v>0</v>
      </c>
      <c r="Z77">
        <v>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 s="13"/>
      <c r="AP77" s="13"/>
      <c r="AQ77" s="13"/>
      <c r="AR77" s="13"/>
      <c r="AS77" s="13"/>
      <c r="AT77" s="13"/>
      <c r="AU77" s="2"/>
      <c r="AV77" s="2"/>
      <c r="AW77" s="2"/>
      <c r="AX77" s="2"/>
      <c r="AY77" t="str">
        <f t="shared" si="5"/>
        <v xml:space="preserve">2000, 2005, 2012, </v>
      </c>
    </row>
    <row r="78" spans="1:51" x14ac:dyDescent="0.2">
      <c r="A78" s="9">
        <f t="shared" si="4"/>
        <v>75</v>
      </c>
      <c r="B78" s="10" t="s">
        <v>115</v>
      </c>
      <c r="C78" s="18" t="s">
        <v>318</v>
      </c>
      <c r="D78" s="10" t="s">
        <v>243</v>
      </c>
      <c r="E78" s="9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1</v>
      </c>
      <c r="Q78">
        <v>0</v>
      </c>
      <c r="R78">
        <v>1</v>
      </c>
      <c r="S78">
        <v>0</v>
      </c>
      <c r="T78">
        <v>0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 s="13"/>
      <c r="AP78" s="13"/>
      <c r="AQ78" s="13"/>
      <c r="AR78" s="13"/>
      <c r="AS78" s="13"/>
      <c r="AT78" s="13"/>
      <c r="AU78" s="2"/>
      <c r="AV78" s="2"/>
      <c r="AW78" s="2"/>
      <c r="AX78" s="2"/>
      <c r="AY78" t="str">
        <f t="shared" si="5"/>
        <v xml:space="preserve">1992, 1995, 1997, 2000, 2003, 2008, 2018, </v>
      </c>
    </row>
    <row r="79" spans="1:51" x14ac:dyDescent="0.2">
      <c r="A79" s="9">
        <f t="shared" si="4"/>
        <v>76</v>
      </c>
      <c r="B79" s="10" t="s">
        <v>116</v>
      </c>
      <c r="C79" s="18" t="s">
        <v>319</v>
      </c>
      <c r="D79" s="10" t="s">
        <v>243</v>
      </c>
      <c r="E79" s="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 s="13"/>
      <c r="AP79" s="13"/>
      <c r="AQ79" s="13"/>
      <c r="AR79" s="13"/>
      <c r="AS79" s="13"/>
      <c r="AT79" s="13"/>
      <c r="AU79" s="2"/>
      <c r="AV79" s="2"/>
      <c r="AW79" s="2"/>
      <c r="AX79" s="2"/>
      <c r="AY79" t="str">
        <f t="shared" si="5"/>
        <v xml:space="preserve">1995, 2001, 2009, 2016, </v>
      </c>
    </row>
    <row r="80" spans="1:51" x14ac:dyDescent="0.2">
      <c r="A80" s="9">
        <f t="shared" si="4"/>
        <v>77</v>
      </c>
      <c r="B80" s="10" t="s">
        <v>117</v>
      </c>
      <c r="C80" s="18" t="s">
        <v>320</v>
      </c>
      <c r="D80" s="10" t="s">
        <v>243</v>
      </c>
      <c r="E80" s="9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 s="13"/>
      <c r="AP80" s="13"/>
      <c r="AQ80" s="13"/>
      <c r="AR80" s="13"/>
      <c r="AS80" s="13"/>
      <c r="AT80" s="13"/>
      <c r="AU80" s="2"/>
      <c r="AV80" s="2"/>
      <c r="AW80" s="2"/>
      <c r="AX80" s="2"/>
      <c r="AY80" t="str">
        <f t="shared" si="5"/>
        <v xml:space="preserve">1987, 2015, </v>
      </c>
    </row>
    <row r="81" spans="1:51" x14ac:dyDescent="0.2">
      <c r="A81" s="9">
        <f t="shared" si="4"/>
        <v>78</v>
      </c>
      <c r="B81" s="10" t="s">
        <v>118</v>
      </c>
      <c r="C81" s="18" t="s">
        <v>321</v>
      </c>
      <c r="D81" s="10" t="s">
        <v>243</v>
      </c>
      <c r="E81" s="9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 s="13"/>
      <c r="AP81" s="13"/>
      <c r="AQ81" s="13"/>
      <c r="AR81" s="13"/>
      <c r="AS81" s="13"/>
      <c r="AT81" s="13"/>
      <c r="AU81" s="2"/>
      <c r="AV81" s="2"/>
      <c r="AW81" s="2"/>
      <c r="AX81" s="2"/>
      <c r="AY81" t="str">
        <f t="shared" si="5"/>
        <v xml:space="preserve">2007, </v>
      </c>
    </row>
    <row r="82" spans="1:51" x14ac:dyDescent="0.2">
      <c r="A82" s="9">
        <f t="shared" si="4"/>
        <v>79</v>
      </c>
      <c r="B82" s="10" t="s">
        <v>119</v>
      </c>
      <c r="C82" s="18" t="s">
        <v>322</v>
      </c>
      <c r="D82" s="10" t="s">
        <v>243</v>
      </c>
      <c r="E82" s="9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 s="13"/>
      <c r="AP82" s="13"/>
      <c r="AQ82" s="13"/>
      <c r="AR82" s="13"/>
      <c r="AS82" s="13"/>
      <c r="AT82" s="13"/>
      <c r="AU82" s="2"/>
      <c r="AV82" s="2"/>
      <c r="AW82" s="2"/>
      <c r="AX82" s="2"/>
      <c r="AY82" t="str">
        <f t="shared" si="5"/>
        <v xml:space="preserve">1999, 2005, 2011, 2018, </v>
      </c>
    </row>
    <row r="83" spans="1:51" x14ac:dyDescent="0.2">
      <c r="A83" s="9">
        <f t="shared" si="4"/>
        <v>80</v>
      </c>
      <c r="B83" s="10" t="s">
        <v>120</v>
      </c>
      <c r="C83" s="18" t="s">
        <v>323</v>
      </c>
      <c r="D83" s="10" t="s">
        <v>243</v>
      </c>
      <c r="E83" s="9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1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1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1</v>
      </c>
      <c r="AN83">
        <v>0</v>
      </c>
      <c r="AO83" s="13"/>
      <c r="AP83" s="13"/>
      <c r="AQ83" s="13"/>
      <c r="AR83" s="13"/>
      <c r="AS83" s="13"/>
      <c r="AT83" s="13"/>
      <c r="AU83" s="2"/>
      <c r="AV83" s="2"/>
      <c r="AW83" s="2"/>
      <c r="AX83" s="2"/>
      <c r="AY83" t="str">
        <f t="shared" si="5"/>
        <v xml:space="preserve">1987, 1995, 1996, 2001, 2006, 2009, 2012, 2015, 2018, </v>
      </c>
    </row>
    <row r="84" spans="1:51" x14ac:dyDescent="0.2">
      <c r="A84" s="9">
        <f t="shared" si="4"/>
        <v>81</v>
      </c>
      <c r="B84" s="10" t="s">
        <v>121</v>
      </c>
      <c r="C84" s="18" t="s">
        <v>324</v>
      </c>
      <c r="D84" s="10" t="s">
        <v>243</v>
      </c>
      <c r="E84" s="9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1</v>
      </c>
      <c r="AK84">
        <v>0</v>
      </c>
      <c r="AL84">
        <v>0</v>
      </c>
      <c r="AM84">
        <v>0</v>
      </c>
      <c r="AN84">
        <v>0</v>
      </c>
      <c r="AO84" s="13"/>
      <c r="AP84" s="13"/>
      <c r="AQ84" s="13"/>
      <c r="AR84" s="13"/>
      <c r="AS84" s="13"/>
      <c r="AT84" s="13"/>
      <c r="AU84" s="2"/>
      <c r="AV84" s="2"/>
      <c r="AW84" s="2"/>
      <c r="AX84" s="2"/>
      <c r="AY84" t="str">
        <f t="shared" si="5"/>
        <v xml:space="preserve">1995, 2000, 2009, 2015, </v>
      </c>
    </row>
    <row r="85" spans="1:51" x14ac:dyDescent="0.2">
      <c r="A85" s="9">
        <f t="shared" si="4"/>
        <v>82</v>
      </c>
      <c r="B85" s="10" t="s">
        <v>122</v>
      </c>
      <c r="C85" s="18" t="s">
        <v>325</v>
      </c>
      <c r="D85" s="10" t="s">
        <v>243</v>
      </c>
      <c r="E85" s="9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 s="13"/>
      <c r="AP85" s="13"/>
      <c r="AQ85" s="13"/>
      <c r="AR85" s="13"/>
      <c r="AS85" s="13"/>
      <c r="AT85" s="13"/>
      <c r="AU85" s="2"/>
      <c r="AV85" s="2"/>
      <c r="AW85" s="2"/>
      <c r="AX85" s="2"/>
      <c r="AY85" t="str">
        <f t="shared" si="5"/>
        <v xml:space="preserve">2005, 2013, 2018, </v>
      </c>
    </row>
    <row r="86" spans="1:51" x14ac:dyDescent="0.2">
      <c r="A86" s="9">
        <f t="shared" si="4"/>
        <v>83</v>
      </c>
      <c r="B86" s="10" t="s">
        <v>123</v>
      </c>
      <c r="C86" s="18" t="s">
        <v>326</v>
      </c>
      <c r="D86" s="10" t="s">
        <v>243</v>
      </c>
      <c r="E86" s="9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 s="13"/>
      <c r="AP86" s="13"/>
      <c r="AQ86" s="13"/>
      <c r="AR86" s="13"/>
      <c r="AS86" s="13"/>
      <c r="AT86" s="13"/>
      <c r="AU86" s="2"/>
      <c r="AV86" s="2"/>
      <c r="AW86" s="2"/>
      <c r="AX86" s="2"/>
      <c r="AY86" t="str">
        <f t="shared" si="5"/>
        <v xml:space="preserve">1996, 2000, 2005, 2010, 2013, 2018, </v>
      </c>
    </row>
    <row r="87" spans="1:51" x14ac:dyDescent="0.2">
      <c r="A87" s="9">
        <f t="shared" si="4"/>
        <v>84</v>
      </c>
      <c r="B87" s="10" t="s">
        <v>124</v>
      </c>
      <c r="C87" s="18" t="s">
        <v>327</v>
      </c>
      <c r="D87" s="10" t="s">
        <v>243</v>
      </c>
      <c r="E87" s="9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1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 s="13"/>
      <c r="AP87" s="13"/>
      <c r="AQ87" s="13"/>
      <c r="AR87" s="13"/>
      <c r="AS87" s="13"/>
      <c r="AT87" s="13"/>
      <c r="AU87" s="2"/>
      <c r="AV87" s="2"/>
      <c r="AW87" s="2"/>
      <c r="AX87" s="2"/>
      <c r="AY87" t="str">
        <f t="shared" si="5"/>
        <v xml:space="preserve">1995, 1997, 2004, 2008, 2011, </v>
      </c>
    </row>
    <row r="88" spans="1:51" x14ac:dyDescent="0.2">
      <c r="A88" s="9">
        <f t="shared" si="4"/>
        <v>85</v>
      </c>
      <c r="B88" s="10" t="s">
        <v>125</v>
      </c>
      <c r="C88" s="18" t="s">
        <v>328</v>
      </c>
      <c r="D88" s="10" t="s">
        <v>243</v>
      </c>
      <c r="E88" s="9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>
        <v>0</v>
      </c>
      <c r="Y88">
        <v>1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1</v>
      </c>
      <c r="AK88">
        <v>0</v>
      </c>
      <c r="AL88">
        <v>0</v>
      </c>
      <c r="AM88">
        <v>0</v>
      </c>
      <c r="AN88">
        <v>1</v>
      </c>
      <c r="AO88" s="13"/>
      <c r="AP88" s="13"/>
      <c r="AQ88" s="13"/>
      <c r="AR88" s="13"/>
      <c r="AS88" s="13"/>
      <c r="AT88" s="13"/>
      <c r="AU88" s="2"/>
      <c r="AV88" s="2"/>
      <c r="AW88" s="2"/>
      <c r="AX88" s="2"/>
      <c r="AY88" t="str">
        <f t="shared" si="5"/>
        <v xml:space="preserve">1995, 2000, 2004, 2007, 2011, 2015, 2019, </v>
      </c>
    </row>
    <row r="89" spans="1:51" x14ac:dyDescent="0.2">
      <c r="A89" s="9">
        <f t="shared" si="4"/>
        <v>86</v>
      </c>
      <c r="B89" s="10" t="s">
        <v>126</v>
      </c>
      <c r="C89" s="18" t="s">
        <v>329</v>
      </c>
      <c r="D89" s="10" t="s">
        <v>243</v>
      </c>
      <c r="E89" s="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 s="13"/>
      <c r="AP89" s="13"/>
      <c r="AQ89" s="13"/>
      <c r="AR89" s="13"/>
      <c r="AS89" s="13"/>
      <c r="AT89" s="13"/>
      <c r="AU89" s="2"/>
      <c r="AV89" s="2"/>
      <c r="AW89" s="2"/>
      <c r="AX89" s="2"/>
      <c r="AY89" t="str">
        <f t="shared" si="5"/>
        <v/>
      </c>
    </row>
    <row r="90" spans="1:51" x14ac:dyDescent="0.2">
      <c r="A90" s="9">
        <f t="shared" si="4"/>
        <v>87</v>
      </c>
      <c r="B90" s="10" t="s">
        <v>127</v>
      </c>
      <c r="C90" s="18" t="s">
        <v>330</v>
      </c>
      <c r="D90" s="10" t="s">
        <v>243</v>
      </c>
      <c r="E90" s="9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0</v>
      </c>
      <c r="Y90">
        <v>1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1</v>
      </c>
      <c r="AO90" s="13"/>
      <c r="AP90" s="13"/>
      <c r="AQ90" s="13"/>
      <c r="AR90" s="13"/>
      <c r="AS90" s="13"/>
      <c r="AT90" s="13"/>
      <c r="AU90" s="2"/>
      <c r="AV90" s="2"/>
      <c r="AW90" s="2"/>
      <c r="AX90" s="2"/>
      <c r="AY90" t="str">
        <f t="shared" si="5"/>
        <v xml:space="preserve">1992, 1995, 2000, 2004, 2006, 2010, 2013, 2015, 2019, </v>
      </c>
    </row>
    <row r="91" spans="1:51" x14ac:dyDescent="0.2">
      <c r="A91" s="9">
        <f t="shared" si="4"/>
        <v>88</v>
      </c>
      <c r="B91" s="10" t="s">
        <v>128</v>
      </c>
      <c r="C91" s="18" t="s">
        <v>331</v>
      </c>
      <c r="D91" s="10" t="s">
        <v>243</v>
      </c>
      <c r="E91" s="9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 s="13"/>
      <c r="AP91" s="13"/>
      <c r="AQ91" s="13"/>
      <c r="AR91" s="13"/>
      <c r="AS91" s="13"/>
      <c r="AT91" s="13"/>
      <c r="AU91" s="2"/>
      <c r="AV91" s="2"/>
      <c r="AW91" s="2"/>
      <c r="AX91" s="2"/>
      <c r="AY91" t="str">
        <f t="shared" si="5"/>
        <v/>
      </c>
    </row>
    <row r="92" spans="1:51" x14ac:dyDescent="0.2">
      <c r="A92" s="9">
        <f t="shared" si="4"/>
        <v>89</v>
      </c>
      <c r="B92" s="10" t="s">
        <v>129</v>
      </c>
      <c r="C92" s="18" t="s">
        <v>332</v>
      </c>
      <c r="D92" s="10" t="s">
        <v>243</v>
      </c>
      <c r="E92" s="9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 s="13"/>
      <c r="AP92" s="13"/>
      <c r="AQ92" s="13"/>
      <c r="AR92" s="13"/>
      <c r="AS92" s="13"/>
      <c r="AT92" s="13"/>
      <c r="AU92" s="2"/>
      <c r="AV92" s="2"/>
      <c r="AW92" s="2"/>
      <c r="AX92" s="2"/>
      <c r="AY92" t="str">
        <f t="shared" si="5"/>
        <v xml:space="preserve">1992, 2000, 2006, 2013, </v>
      </c>
    </row>
    <row r="93" spans="1:51" x14ac:dyDescent="0.2">
      <c r="A93" s="9">
        <f t="shared" si="4"/>
        <v>90</v>
      </c>
      <c r="B93" s="10" t="s">
        <v>130</v>
      </c>
      <c r="C93" s="18" t="s">
        <v>333</v>
      </c>
      <c r="D93" s="10" t="s">
        <v>243</v>
      </c>
      <c r="E93" s="9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1</v>
      </c>
      <c r="R93">
        <v>0</v>
      </c>
      <c r="S93">
        <v>1</v>
      </c>
      <c r="T93">
        <v>0</v>
      </c>
      <c r="U93">
        <v>1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 s="13"/>
      <c r="AP93" s="13">
        <v>1</v>
      </c>
      <c r="AQ93" s="13"/>
      <c r="AR93" s="13"/>
      <c r="AS93" s="13"/>
      <c r="AT93" s="13"/>
      <c r="AU93" s="2"/>
      <c r="AV93" s="2"/>
      <c r="AW93" s="2"/>
      <c r="AX93" s="2"/>
      <c r="AY93" t="str">
        <f t="shared" si="5"/>
        <v xml:space="preserve">1992, 1996, 1998, 2000, 2006, 2012, 2017, 2021, </v>
      </c>
    </row>
    <row r="94" spans="1:51" x14ac:dyDescent="0.2">
      <c r="A94" s="9">
        <f t="shared" si="4"/>
        <v>91</v>
      </c>
      <c r="B94" s="10" t="s">
        <v>131</v>
      </c>
      <c r="C94" s="18" t="s">
        <v>334</v>
      </c>
      <c r="D94" s="10" t="s">
        <v>243</v>
      </c>
      <c r="E94" s="9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2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1</v>
      </c>
      <c r="AG94">
        <v>0</v>
      </c>
      <c r="AH94">
        <v>1</v>
      </c>
      <c r="AI94">
        <v>1</v>
      </c>
      <c r="AJ94">
        <v>1</v>
      </c>
      <c r="AK94">
        <v>1</v>
      </c>
      <c r="AL94">
        <v>0</v>
      </c>
      <c r="AM94">
        <v>1</v>
      </c>
      <c r="AN94">
        <v>0</v>
      </c>
      <c r="AO94" s="13"/>
      <c r="AP94" s="13"/>
      <c r="AQ94" s="13"/>
      <c r="AR94" s="13"/>
      <c r="AS94" s="13"/>
      <c r="AT94" s="13"/>
      <c r="AU94" s="2"/>
      <c r="AV94" s="2"/>
      <c r="AW94" s="2"/>
      <c r="AX94" s="2"/>
      <c r="AY94" t="str">
        <f t="shared" si="5"/>
        <v xml:space="preserve">1990, 1995, 2003, 2007, 2008, 2011, 2013, 2014, 2015, 2016, 2018, </v>
      </c>
    </row>
    <row r="95" spans="1:51" x14ac:dyDescent="0.2">
      <c r="A95" s="9">
        <f t="shared" si="4"/>
        <v>92</v>
      </c>
      <c r="B95" s="10" t="s">
        <v>132</v>
      </c>
      <c r="C95" s="18" t="s">
        <v>335</v>
      </c>
      <c r="D95" s="10" t="s">
        <v>243</v>
      </c>
      <c r="E95" s="9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 s="13"/>
      <c r="AP95" s="13"/>
      <c r="AQ95" s="13"/>
      <c r="AR95" s="13"/>
      <c r="AS95" s="13"/>
      <c r="AT95" s="13"/>
      <c r="AU95" s="2"/>
      <c r="AV95" s="2"/>
      <c r="AW95" s="2"/>
      <c r="AX95" s="2"/>
      <c r="AY95" t="str">
        <f t="shared" si="5"/>
        <v xml:space="preserve">1998, 2001, 2007, </v>
      </c>
    </row>
    <row r="96" spans="1:51" x14ac:dyDescent="0.2">
      <c r="A96" s="9">
        <f t="shared" si="4"/>
        <v>93</v>
      </c>
      <c r="B96" s="10" t="s">
        <v>133</v>
      </c>
      <c r="C96" s="18" t="s">
        <v>336</v>
      </c>
      <c r="D96" s="10" t="s">
        <v>243</v>
      </c>
      <c r="E96" s="9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1</v>
      </c>
      <c r="Q96">
        <v>1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1</v>
      </c>
      <c r="AJ96">
        <v>0</v>
      </c>
      <c r="AK96">
        <v>1</v>
      </c>
      <c r="AL96">
        <v>0</v>
      </c>
      <c r="AM96">
        <v>0</v>
      </c>
      <c r="AN96">
        <v>1</v>
      </c>
      <c r="AO96" s="13"/>
      <c r="AP96" s="13"/>
      <c r="AQ96" s="13"/>
      <c r="AR96" s="13"/>
      <c r="AS96" s="13"/>
      <c r="AT96" s="13"/>
      <c r="AU96" s="2"/>
      <c r="AV96" s="2"/>
      <c r="AW96" s="2"/>
      <c r="AX96" s="2"/>
      <c r="AY96" t="str">
        <f t="shared" si="5"/>
        <v xml:space="preserve">1995, 1996, 2001, 2006, 2011, 2014, 2016, 2019, </v>
      </c>
    </row>
    <row r="97" spans="1:51" x14ac:dyDescent="0.2">
      <c r="A97" s="9">
        <f t="shared" si="4"/>
        <v>94</v>
      </c>
      <c r="B97" s="10" t="s">
        <v>134</v>
      </c>
      <c r="C97" s="18" t="s">
        <v>337</v>
      </c>
      <c r="D97" s="10" t="s">
        <v>243</v>
      </c>
      <c r="E97" s="9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 s="13"/>
      <c r="AP97" s="13"/>
      <c r="AQ97" s="13"/>
      <c r="AR97" s="13"/>
      <c r="AS97" s="13"/>
      <c r="AT97" s="13"/>
      <c r="AU97" s="2"/>
      <c r="AV97" s="2"/>
      <c r="AW97" s="2"/>
      <c r="AX97" s="2"/>
      <c r="AY97" t="str">
        <f t="shared" si="5"/>
        <v/>
      </c>
    </row>
    <row r="98" spans="1:51" x14ac:dyDescent="0.2">
      <c r="A98" s="9">
        <f t="shared" si="4"/>
        <v>95</v>
      </c>
      <c r="B98" s="10" t="s">
        <v>135</v>
      </c>
      <c r="C98" s="18" t="s">
        <v>338</v>
      </c>
      <c r="D98" s="10" t="s">
        <v>243</v>
      </c>
      <c r="E98" s="9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 s="13"/>
      <c r="AP98" s="13"/>
      <c r="AQ98" s="13"/>
      <c r="AR98" s="13"/>
      <c r="AS98" s="13"/>
      <c r="AT98" s="13"/>
      <c r="AU98" s="2"/>
      <c r="AV98" s="2"/>
      <c r="AW98" s="2"/>
      <c r="AX98" s="2"/>
      <c r="AY98" t="str">
        <f t="shared" si="5"/>
        <v xml:space="preserve">1990, 1995, 2006, 2012, 2017, </v>
      </c>
    </row>
    <row r="99" spans="1:51" x14ac:dyDescent="0.2">
      <c r="A99" s="9">
        <f t="shared" si="4"/>
        <v>96</v>
      </c>
      <c r="B99" s="10" t="s">
        <v>136</v>
      </c>
      <c r="C99" s="18" t="s">
        <v>339</v>
      </c>
      <c r="D99" s="10" t="s">
        <v>243</v>
      </c>
      <c r="E99" s="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 s="13"/>
      <c r="AP99" s="13"/>
      <c r="AQ99" s="13"/>
      <c r="AR99" s="13"/>
      <c r="AS99" s="13"/>
      <c r="AT99" s="13"/>
      <c r="AU99" s="2"/>
      <c r="AV99" s="2"/>
      <c r="AW99" s="2"/>
      <c r="AX99" s="2"/>
      <c r="AY99" t="str">
        <f t="shared" si="5"/>
        <v xml:space="preserve">1996, 2013, </v>
      </c>
    </row>
    <row r="100" spans="1:51" x14ac:dyDescent="0.2">
      <c r="A100" s="9">
        <f t="shared" si="4"/>
        <v>97</v>
      </c>
      <c r="B100" s="10" t="s">
        <v>137</v>
      </c>
      <c r="C100" s="18" t="s">
        <v>340</v>
      </c>
      <c r="D100" s="10" t="s">
        <v>243</v>
      </c>
      <c r="E100" s="9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 s="13"/>
      <c r="AP100" s="13"/>
      <c r="AQ100" s="13"/>
      <c r="AR100" s="13"/>
      <c r="AS100" s="13"/>
      <c r="AT100" s="13"/>
      <c r="AU100" s="2"/>
      <c r="AV100" s="2"/>
      <c r="AW100" s="2"/>
      <c r="AX100" s="2"/>
      <c r="AY100" t="str">
        <f t="shared" si="5"/>
        <v xml:space="preserve">1986, 1991, 1996, 2000, 2018, </v>
      </c>
    </row>
    <row r="101" spans="1:51" x14ac:dyDescent="0.2">
      <c r="A101" s="9">
        <f t="shared" ref="A101:A132" si="6">1+A100</f>
        <v>98</v>
      </c>
      <c r="B101" s="10" t="s">
        <v>138</v>
      </c>
      <c r="C101" s="18" t="s">
        <v>341</v>
      </c>
      <c r="D101" s="10" t="s">
        <v>243</v>
      </c>
      <c r="E101" s="9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 s="13"/>
      <c r="AP101" s="13"/>
      <c r="AQ101" s="13"/>
      <c r="AR101" s="13"/>
      <c r="AS101" s="13"/>
      <c r="AT101" s="13"/>
      <c r="AU101" s="2"/>
      <c r="AV101" s="2"/>
      <c r="AW101" s="2"/>
      <c r="AX101" s="2"/>
      <c r="AY101" t="str">
        <f t="shared" si="5"/>
        <v xml:space="preserve">1993, 1996, 1998, 1999, 2003, 2008, 2013, 2017, </v>
      </c>
    </row>
    <row r="102" spans="1:51" x14ac:dyDescent="0.2">
      <c r="A102" s="9">
        <f t="shared" si="6"/>
        <v>99</v>
      </c>
      <c r="B102" s="10" t="s">
        <v>139</v>
      </c>
      <c r="C102" s="18" t="s">
        <v>342</v>
      </c>
      <c r="D102" s="10" t="s">
        <v>243</v>
      </c>
      <c r="E102" s="9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 s="13"/>
      <c r="AP102" s="13"/>
      <c r="AQ102" s="13"/>
      <c r="AR102" s="13"/>
      <c r="AS102" s="13"/>
      <c r="AT102" s="13"/>
      <c r="AU102" s="2"/>
      <c r="AV102" s="2"/>
      <c r="AW102" s="2"/>
      <c r="AX102" s="2"/>
      <c r="AY102" t="str">
        <f t="shared" si="5"/>
        <v/>
      </c>
    </row>
    <row r="103" spans="1:51" x14ac:dyDescent="0.2">
      <c r="A103" s="9">
        <f t="shared" si="6"/>
        <v>100</v>
      </c>
      <c r="B103" s="10" t="s">
        <v>140</v>
      </c>
      <c r="C103" s="18" t="s">
        <v>343</v>
      </c>
      <c r="D103" s="10" t="s">
        <v>243</v>
      </c>
      <c r="E103" s="9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 s="13"/>
      <c r="AP103" s="13"/>
      <c r="AQ103" s="13"/>
      <c r="AR103" s="13"/>
      <c r="AS103" s="13"/>
      <c r="AT103" s="13"/>
      <c r="AU103" s="2"/>
      <c r="AV103" s="2"/>
      <c r="AW103" s="2"/>
      <c r="AX103" s="2"/>
      <c r="AY103" t="str">
        <f t="shared" si="5"/>
        <v xml:space="preserve">2016, </v>
      </c>
    </row>
    <row r="104" spans="1:51" s="23" customFormat="1" x14ac:dyDescent="0.2">
      <c r="A104" s="20">
        <f t="shared" si="6"/>
        <v>101</v>
      </c>
      <c r="B104" s="21" t="s">
        <v>141</v>
      </c>
      <c r="C104" s="21" t="s">
        <v>344</v>
      </c>
      <c r="D104" s="10" t="s">
        <v>243</v>
      </c>
      <c r="E104" s="9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  <c r="AM104">
        <v>0</v>
      </c>
      <c r="AN104">
        <v>1</v>
      </c>
      <c r="AO104" s="19">
        <v>1</v>
      </c>
      <c r="AP104" s="19"/>
      <c r="AQ104" s="19"/>
      <c r="AR104" s="19"/>
      <c r="AS104" s="19"/>
      <c r="AT104" s="19"/>
      <c r="AU104" s="22"/>
      <c r="AV104" s="22"/>
      <c r="AW104" s="22"/>
      <c r="AX104" s="22"/>
      <c r="AY104" t="str">
        <f t="shared" si="5"/>
        <v xml:space="preserve">2009, 2014, 2019, 2020, </v>
      </c>
    </row>
    <row r="105" spans="1:51" x14ac:dyDescent="0.2">
      <c r="A105" s="9">
        <f t="shared" si="6"/>
        <v>102</v>
      </c>
      <c r="B105" s="10" t="s">
        <v>142</v>
      </c>
      <c r="C105" s="18" t="s">
        <v>345</v>
      </c>
      <c r="D105" s="10" t="s">
        <v>243</v>
      </c>
      <c r="E105" s="9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 s="13"/>
      <c r="AP105" s="13"/>
      <c r="AQ105" s="13"/>
      <c r="AR105" s="13"/>
      <c r="AS105" s="13"/>
      <c r="AT105" s="13"/>
      <c r="AU105" s="2"/>
      <c r="AV105" s="2"/>
      <c r="AW105" s="2"/>
      <c r="AX105" s="2"/>
      <c r="AY105" t="str">
        <f t="shared" si="5"/>
        <v xml:space="preserve">1990, 2016, </v>
      </c>
    </row>
    <row r="106" spans="1:51" x14ac:dyDescent="0.2">
      <c r="A106" s="9">
        <f t="shared" si="6"/>
        <v>103</v>
      </c>
      <c r="B106" s="10" t="s">
        <v>143</v>
      </c>
      <c r="C106" s="18" t="s">
        <v>346</v>
      </c>
      <c r="D106" s="10" t="s">
        <v>243</v>
      </c>
      <c r="E106" s="9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0</v>
      </c>
      <c r="S106">
        <v>0</v>
      </c>
      <c r="T106">
        <v>0</v>
      </c>
      <c r="U106">
        <v>3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0</v>
      </c>
      <c r="AH106">
        <v>0</v>
      </c>
      <c r="AI106">
        <v>1</v>
      </c>
      <c r="AJ106">
        <v>0</v>
      </c>
      <c r="AK106">
        <v>0</v>
      </c>
      <c r="AL106">
        <v>0</v>
      </c>
      <c r="AM106">
        <v>0</v>
      </c>
      <c r="AN106">
        <v>1</v>
      </c>
      <c r="AO106" s="13"/>
      <c r="AP106" s="13"/>
      <c r="AQ106" s="13"/>
      <c r="AR106" s="13"/>
      <c r="AS106" s="13"/>
      <c r="AT106" s="13"/>
      <c r="AU106" s="2"/>
      <c r="AV106" s="2"/>
      <c r="AW106" s="2"/>
      <c r="AX106" s="2"/>
      <c r="AY106" t="str">
        <f t="shared" si="5"/>
        <v xml:space="preserve">2004, 2006, 2010, 2014, 2019, </v>
      </c>
    </row>
    <row r="107" spans="1:51" s="23" customFormat="1" x14ac:dyDescent="0.2">
      <c r="A107" s="20">
        <f t="shared" si="6"/>
        <v>104</v>
      </c>
      <c r="B107" s="21" t="s">
        <v>144</v>
      </c>
      <c r="C107" s="21" t="s">
        <v>347</v>
      </c>
      <c r="D107" s="10" t="s">
        <v>243</v>
      </c>
      <c r="E107" s="9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0</v>
      </c>
      <c r="AK107">
        <v>0</v>
      </c>
      <c r="AL107">
        <v>0</v>
      </c>
      <c r="AM107">
        <v>0</v>
      </c>
      <c r="AN107">
        <v>1</v>
      </c>
      <c r="AO107" s="19"/>
      <c r="AP107" s="19"/>
      <c r="AQ107" s="19"/>
      <c r="AR107" s="19"/>
      <c r="AS107" s="19"/>
      <c r="AT107" s="19"/>
      <c r="AU107" s="22"/>
      <c r="AV107" s="22"/>
      <c r="AW107" s="22"/>
      <c r="AX107" s="22"/>
      <c r="AY107" t="str">
        <f t="shared" si="5"/>
        <v xml:space="preserve">2008, 2014, 2019, </v>
      </c>
    </row>
    <row r="108" spans="1:51" x14ac:dyDescent="0.2">
      <c r="A108" s="9">
        <f t="shared" si="6"/>
        <v>105</v>
      </c>
      <c r="B108" s="10" t="s">
        <v>145</v>
      </c>
      <c r="C108" s="18" t="s">
        <v>348</v>
      </c>
      <c r="D108" s="10" t="s">
        <v>243</v>
      </c>
      <c r="E108" s="9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 s="13"/>
      <c r="AP108" s="13"/>
      <c r="AQ108" s="13"/>
      <c r="AR108" s="13"/>
      <c r="AS108" s="13"/>
      <c r="AT108" s="13"/>
      <c r="AU108" s="2"/>
      <c r="AV108" s="2"/>
      <c r="AW108" s="2"/>
      <c r="AX108" s="2"/>
      <c r="AY108" t="str">
        <f t="shared" si="5"/>
        <v/>
      </c>
    </row>
    <row r="109" spans="1:51" x14ac:dyDescent="0.2">
      <c r="A109" s="9">
        <f t="shared" si="6"/>
        <v>106</v>
      </c>
      <c r="B109" s="10" t="s">
        <v>146</v>
      </c>
      <c r="C109" s="18" t="s">
        <v>349</v>
      </c>
      <c r="D109" s="10" t="s">
        <v>243</v>
      </c>
      <c r="E109" s="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1</v>
      </c>
      <c r="AJ109">
        <v>0</v>
      </c>
      <c r="AK109">
        <v>0</v>
      </c>
      <c r="AL109">
        <v>0</v>
      </c>
      <c r="AM109">
        <v>0</v>
      </c>
      <c r="AN109">
        <v>1</v>
      </c>
      <c r="AO109" s="13"/>
      <c r="AP109" s="13"/>
      <c r="AQ109" s="13"/>
      <c r="AR109" s="13"/>
      <c r="AS109" s="13"/>
      <c r="AT109" s="13"/>
      <c r="AU109" s="2"/>
      <c r="AV109" s="2"/>
      <c r="AW109" s="2"/>
      <c r="AX109" s="2"/>
      <c r="AY109" t="str">
        <f t="shared" si="5"/>
        <v xml:space="preserve">1992, 2005, 2010, 2014, 2019, </v>
      </c>
    </row>
    <row r="110" spans="1:51" x14ac:dyDescent="0.2">
      <c r="A110" s="9">
        <f t="shared" si="6"/>
        <v>107</v>
      </c>
      <c r="B110" s="10" t="s">
        <v>147</v>
      </c>
      <c r="C110" s="18" t="s">
        <v>350</v>
      </c>
      <c r="D110" s="10" t="s">
        <v>243</v>
      </c>
      <c r="E110" s="9">
        <v>0</v>
      </c>
      <c r="F110">
        <v>0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0</v>
      </c>
      <c r="AN110">
        <v>0</v>
      </c>
      <c r="AO110" s="13"/>
      <c r="AP110" s="13"/>
      <c r="AQ110" s="13"/>
      <c r="AR110" s="13"/>
      <c r="AS110" s="13"/>
      <c r="AT110" s="13"/>
      <c r="AU110" s="2"/>
      <c r="AV110" s="2"/>
      <c r="AW110" s="2"/>
      <c r="AX110" s="2"/>
      <c r="AY110" t="str">
        <f t="shared" si="5"/>
        <v xml:space="preserve">1989, 1995, 2000, 2010, 2014, </v>
      </c>
    </row>
    <row r="111" spans="1:51" x14ac:dyDescent="0.2">
      <c r="A111" s="9">
        <f t="shared" si="6"/>
        <v>108</v>
      </c>
      <c r="B111" s="10" t="s">
        <v>148</v>
      </c>
      <c r="C111" s="18" t="s">
        <v>351</v>
      </c>
      <c r="D111" s="10" t="s">
        <v>243</v>
      </c>
      <c r="E111" s="9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1</v>
      </c>
      <c r="R111">
        <v>1</v>
      </c>
      <c r="S111">
        <v>0</v>
      </c>
      <c r="T111">
        <v>1</v>
      </c>
      <c r="U111">
        <v>1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 s="13"/>
      <c r="AP111" s="13"/>
      <c r="AQ111" s="13"/>
      <c r="AR111" s="13"/>
      <c r="AS111" s="13"/>
      <c r="AT111" s="13"/>
      <c r="AU111" s="2"/>
      <c r="AV111" s="2"/>
      <c r="AW111" s="2"/>
      <c r="AX111" s="2"/>
      <c r="AY111" t="str">
        <f t="shared" si="5"/>
        <v xml:space="preserve">1986, 1992, 1996, 1997, 1999, 2000, 2005, 2010, </v>
      </c>
    </row>
    <row r="112" spans="1:51" x14ac:dyDescent="0.2">
      <c r="A112" s="9">
        <f t="shared" si="6"/>
        <v>109</v>
      </c>
      <c r="B112" s="10" t="s">
        <v>149</v>
      </c>
      <c r="C112" s="18" t="s">
        <v>352</v>
      </c>
      <c r="D112" s="10" t="s">
        <v>243</v>
      </c>
      <c r="E112" s="9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 s="13"/>
      <c r="AP112" s="13"/>
      <c r="AQ112" s="13"/>
      <c r="AR112" s="13"/>
      <c r="AS112" s="13"/>
      <c r="AT112" s="13"/>
      <c r="AU112" s="2"/>
      <c r="AV112" s="2"/>
      <c r="AW112" s="2"/>
      <c r="AX112" s="2"/>
      <c r="AY112" t="str">
        <f t="shared" si="5"/>
        <v xml:space="preserve">2006, </v>
      </c>
    </row>
    <row r="113" spans="1:51" x14ac:dyDescent="0.2">
      <c r="A113" s="9">
        <f t="shared" si="6"/>
        <v>110</v>
      </c>
      <c r="B113" s="10" t="s">
        <v>150</v>
      </c>
      <c r="C113" s="18" t="s">
        <v>353</v>
      </c>
      <c r="D113" s="10" t="s">
        <v>243</v>
      </c>
      <c r="E113" s="9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1</v>
      </c>
      <c r="AD113">
        <v>0</v>
      </c>
      <c r="AE113">
        <v>1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1</v>
      </c>
      <c r="AO113" s="13"/>
      <c r="AP113" s="13"/>
      <c r="AQ113" s="13"/>
      <c r="AR113" s="13"/>
      <c r="AS113" s="13"/>
      <c r="AT113" s="13"/>
      <c r="AU113" s="2"/>
      <c r="AV113" s="2"/>
      <c r="AW113" s="2"/>
      <c r="AX113" s="2"/>
      <c r="AY113" t="str">
        <f t="shared" si="5"/>
        <v xml:space="preserve">1995, 2000, 2005, 2008, 2010, 2013, 2017, 2019, </v>
      </c>
    </row>
    <row r="114" spans="1:51" x14ac:dyDescent="0.2">
      <c r="A114" s="9">
        <f t="shared" si="6"/>
        <v>111</v>
      </c>
      <c r="B114" s="10" t="s">
        <v>151</v>
      </c>
      <c r="C114" s="17" t="s">
        <v>354</v>
      </c>
      <c r="D114" s="10" t="s">
        <v>243</v>
      </c>
      <c r="E114" s="9">
        <v>0</v>
      </c>
      <c r="F114">
        <v>2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</v>
      </c>
      <c r="AJ114">
        <v>0</v>
      </c>
      <c r="AK114">
        <v>0</v>
      </c>
      <c r="AL114">
        <v>0</v>
      </c>
      <c r="AM114">
        <v>0</v>
      </c>
      <c r="AN114">
        <v>0</v>
      </c>
      <c r="AO114" s="13"/>
      <c r="AP114" s="13"/>
      <c r="AQ114" s="13"/>
      <c r="AR114" s="13"/>
      <c r="AS114" s="13"/>
      <c r="AT114" s="13"/>
      <c r="AU114" s="2"/>
      <c r="AV114" s="2"/>
      <c r="AW114" s="2"/>
      <c r="AX114" s="2"/>
      <c r="AY114" t="str">
        <f t="shared" si="5"/>
        <v xml:space="preserve">1993, 1998, 2008, 2014, </v>
      </c>
    </row>
    <row r="115" spans="1:51" x14ac:dyDescent="0.2">
      <c r="A115" s="9">
        <f t="shared" si="6"/>
        <v>112</v>
      </c>
      <c r="B115" s="10" t="s">
        <v>152</v>
      </c>
      <c r="C115" s="18" t="s">
        <v>355</v>
      </c>
      <c r="D115" s="10" t="s">
        <v>243</v>
      </c>
      <c r="E115" s="9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 s="13"/>
      <c r="AP115" s="13"/>
      <c r="AQ115" s="13"/>
      <c r="AR115" s="13"/>
      <c r="AS115" s="13"/>
      <c r="AT115" s="13"/>
      <c r="AU115" s="2"/>
      <c r="AV115" s="2"/>
      <c r="AW115" s="2"/>
      <c r="AX115" s="2"/>
      <c r="AY115" t="str">
        <f t="shared" si="5"/>
        <v xml:space="preserve">2000, 2006, </v>
      </c>
    </row>
    <row r="116" spans="1:51" x14ac:dyDescent="0.2">
      <c r="A116" s="9">
        <f t="shared" si="6"/>
        <v>113</v>
      </c>
      <c r="B116" s="10" t="s">
        <v>153</v>
      </c>
      <c r="C116" s="18" t="s">
        <v>356</v>
      </c>
      <c r="D116" s="10" t="s">
        <v>243</v>
      </c>
      <c r="E116" s="9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2</v>
      </c>
      <c r="AO116" s="13"/>
      <c r="AP116" s="13"/>
      <c r="AQ116" s="13"/>
      <c r="AR116" s="13"/>
      <c r="AS116" s="13"/>
      <c r="AT116" s="13"/>
      <c r="AU116" s="2"/>
      <c r="AV116" s="2"/>
      <c r="AW116" s="2"/>
      <c r="AX116" s="2"/>
      <c r="AY116" t="str">
        <f t="shared" si="5"/>
        <v xml:space="preserve">2005, 2010, 2014, </v>
      </c>
    </row>
    <row r="117" spans="1:51" x14ac:dyDescent="0.2">
      <c r="A117" s="9">
        <f t="shared" si="6"/>
        <v>114</v>
      </c>
      <c r="B117" s="10" t="s">
        <v>154</v>
      </c>
      <c r="C117" s="18" t="s">
        <v>357</v>
      </c>
      <c r="D117" s="10" t="s">
        <v>243</v>
      </c>
      <c r="E117" s="9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 s="13"/>
      <c r="AP117" s="13"/>
      <c r="AQ117" s="13"/>
      <c r="AR117" s="13"/>
      <c r="AS117" s="13"/>
      <c r="AT117" s="13"/>
      <c r="AU117" s="2"/>
      <c r="AV117" s="2"/>
      <c r="AW117" s="2"/>
      <c r="AX117" s="2"/>
      <c r="AY117" t="str">
        <f t="shared" si="5"/>
        <v xml:space="preserve">2010, </v>
      </c>
    </row>
    <row r="118" spans="1:51" x14ac:dyDescent="0.2">
      <c r="A118" s="9">
        <f t="shared" si="6"/>
        <v>115</v>
      </c>
      <c r="B118" s="10" t="s">
        <v>155</v>
      </c>
      <c r="C118" s="18" t="s">
        <v>358</v>
      </c>
      <c r="D118" s="10" t="s">
        <v>243</v>
      </c>
      <c r="E118" s="9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</v>
      </c>
      <c r="AJ118">
        <v>0</v>
      </c>
      <c r="AK118">
        <v>0</v>
      </c>
      <c r="AL118">
        <v>0</v>
      </c>
      <c r="AM118">
        <v>0</v>
      </c>
      <c r="AN118">
        <v>1</v>
      </c>
      <c r="AO118" s="13"/>
      <c r="AP118" s="13"/>
      <c r="AQ118" s="13"/>
      <c r="AR118" s="13"/>
      <c r="AS118" s="13"/>
      <c r="AT118" s="13"/>
      <c r="AU118" s="2"/>
      <c r="AV118" s="2"/>
      <c r="AW118" s="2"/>
      <c r="AX118" s="2"/>
      <c r="AY118" t="str">
        <f t="shared" si="5"/>
        <v xml:space="preserve">1996, 2000, 2006, 2008, 2014, 2019, </v>
      </c>
    </row>
    <row r="119" spans="1:51" x14ac:dyDescent="0.2">
      <c r="A119" s="9">
        <f t="shared" si="6"/>
        <v>116</v>
      </c>
      <c r="B119" s="10" t="s">
        <v>156</v>
      </c>
      <c r="C119" s="18" t="s">
        <v>359</v>
      </c>
      <c r="D119" s="10" t="s">
        <v>243</v>
      </c>
      <c r="E119" s="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</v>
      </c>
      <c r="AN119">
        <v>0</v>
      </c>
      <c r="AO119" s="13"/>
      <c r="AP119" s="13"/>
      <c r="AQ119" s="13"/>
      <c r="AR119" s="13"/>
      <c r="AS119" s="13"/>
      <c r="AT119" s="13"/>
      <c r="AU119" s="2"/>
      <c r="AV119" s="2"/>
      <c r="AW119" s="2"/>
      <c r="AX119" s="2"/>
      <c r="AY119" t="str">
        <f t="shared" si="5"/>
        <v xml:space="preserve">1999, 2006, 2010, 2018, </v>
      </c>
    </row>
    <row r="120" spans="1:51" x14ac:dyDescent="0.2">
      <c r="A120" s="9">
        <f t="shared" si="6"/>
        <v>117</v>
      </c>
      <c r="B120" s="10" t="s">
        <v>157</v>
      </c>
      <c r="C120" s="18" t="s">
        <v>360</v>
      </c>
      <c r="D120" s="10" t="s">
        <v>243</v>
      </c>
      <c r="E120" s="9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  <c r="AM120">
        <v>0</v>
      </c>
      <c r="AN120">
        <v>0</v>
      </c>
      <c r="AO120" s="13"/>
      <c r="AP120" s="13"/>
      <c r="AQ120" s="13"/>
      <c r="AR120" s="13"/>
      <c r="AS120" s="13"/>
      <c r="AT120" s="13"/>
      <c r="AU120" s="2"/>
      <c r="AV120" s="2"/>
      <c r="AW120" s="2"/>
      <c r="AX120" s="2"/>
      <c r="AY120" t="str">
        <f t="shared" si="5"/>
        <v xml:space="preserve">1995, 2000, 2003, 2006, 2010, 2014, </v>
      </c>
    </row>
    <row r="121" spans="1:51" x14ac:dyDescent="0.2">
      <c r="A121" s="9">
        <f t="shared" si="6"/>
        <v>118</v>
      </c>
      <c r="B121" s="10" t="s">
        <v>158</v>
      </c>
      <c r="C121" s="18" t="s">
        <v>361</v>
      </c>
      <c r="D121" s="10" t="s">
        <v>243</v>
      </c>
      <c r="E121" s="9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 s="13"/>
      <c r="AP121" s="13"/>
      <c r="AQ121" s="13"/>
      <c r="AR121" s="13"/>
      <c r="AS121" s="13"/>
      <c r="AT121" s="13"/>
      <c r="AU121" s="2"/>
      <c r="AV121" s="2"/>
      <c r="AW121" s="2"/>
      <c r="AX121" s="2"/>
      <c r="AY121" t="str">
        <f t="shared" si="5"/>
        <v/>
      </c>
    </row>
    <row r="122" spans="1:51" x14ac:dyDescent="0.2">
      <c r="A122" s="9">
        <f t="shared" si="6"/>
        <v>119</v>
      </c>
      <c r="B122" s="10" t="s">
        <v>159</v>
      </c>
      <c r="C122" s="18" t="s">
        <v>362</v>
      </c>
      <c r="D122" s="10" t="s">
        <v>243</v>
      </c>
      <c r="E122" s="9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 s="13"/>
      <c r="AP122" s="13"/>
      <c r="AQ122" s="13"/>
      <c r="AR122" s="13"/>
      <c r="AS122" s="13"/>
      <c r="AT122" s="13"/>
      <c r="AU122" s="2"/>
      <c r="AV122" s="2"/>
      <c r="AW122" s="2"/>
      <c r="AX122" s="2"/>
      <c r="AY122" t="str">
        <f t="shared" si="5"/>
        <v xml:space="preserve">1995, 2000, 2006, </v>
      </c>
    </row>
    <row r="123" spans="1:51" x14ac:dyDescent="0.2">
      <c r="A123" s="9">
        <f t="shared" si="6"/>
        <v>120</v>
      </c>
      <c r="B123" s="10" t="s">
        <v>160</v>
      </c>
      <c r="C123" s="17" t="s">
        <v>363</v>
      </c>
      <c r="D123" s="10" t="s">
        <v>243</v>
      </c>
      <c r="E123" s="9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1</v>
      </c>
      <c r="V123">
        <v>0</v>
      </c>
      <c r="W123">
        <v>0</v>
      </c>
      <c r="X123">
        <v>1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1</v>
      </c>
      <c r="AO123" s="13"/>
      <c r="AP123" s="13"/>
      <c r="AQ123" s="13"/>
      <c r="AR123" s="13"/>
      <c r="AS123" s="13"/>
      <c r="AT123" s="13"/>
      <c r="AU123" s="2"/>
      <c r="AV123" s="2"/>
      <c r="AW123" s="2"/>
      <c r="AX123" s="2"/>
      <c r="AY123" t="str">
        <f t="shared" si="5"/>
        <v xml:space="preserve">1997, 2000, 2003, 2004, 2010, 2014, 2019, </v>
      </c>
    </row>
    <row r="124" spans="1:51" x14ac:dyDescent="0.2">
      <c r="A124" s="9">
        <f t="shared" si="6"/>
        <v>121</v>
      </c>
      <c r="B124" s="10" t="s">
        <v>161</v>
      </c>
      <c r="C124" s="18" t="s">
        <v>364</v>
      </c>
      <c r="D124" s="10" t="s">
        <v>243</v>
      </c>
      <c r="E124" s="9">
        <v>0</v>
      </c>
      <c r="F124">
        <v>0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</v>
      </c>
      <c r="R124">
        <v>0</v>
      </c>
      <c r="S124">
        <v>1</v>
      </c>
      <c r="T124">
        <v>0</v>
      </c>
      <c r="U124">
        <v>1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 s="13"/>
      <c r="AP124" s="13"/>
      <c r="AQ124" s="13"/>
      <c r="AR124" s="13"/>
      <c r="AS124" s="13"/>
      <c r="AT124" s="13"/>
      <c r="AU124" s="2"/>
      <c r="AV124" s="2"/>
      <c r="AW124" s="2"/>
      <c r="AX124" s="2"/>
      <c r="AY124" t="str">
        <f t="shared" si="5"/>
        <v xml:space="preserve">1988, 1996, 1998, 2000, 2006, 2010, 2013, 2017, </v>
      </c>
    </row>
    <row r="125" spans="1:51" x14ac:dyDescent="0.2">
      <c r="A125" s="9">
        <f t="shared" si="6"/>
        <v>122</v>
      </c>
      <c r="B125" s="10" t="s">
        <v>162</v>
      </c>
      <c r="C125" s="18" t="s">
        <v>365</v>
      </c>
      <c r="D125" s="10" t="s">
        <v>243</v>
      </c>
      <c r="E125" s="9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1</v>
      </c>
      <c r="AO125" s="13"/>
      <c r="AP125" s="13"/>
      <c r="AQ125" s="13"/>
      <c r="AR125" s="13"/>
      <c r="AS125" s="13"/>
      <c r="AT125" s="13"/>
      <c r="AU125" s="2"/>
      <c r="AV125" s="2"/>
      <c r="AW125" s="2"/>
      <c r="AX125" s="2"/>
      <c r="AY125" t="str">
        <f t="shared" si="5"/>
        <v xml:space="preserve">1987, 2005, 2012, 2015, 2019, </v>
      </c>
    </row>
    <row r="126" spans="1:51" x14ac:dyDescent="0.2">
      <c r="A126" s="9">
        <f t="shared" si="6"/>
        <v>123</v>
      </c>
      <c r="B126" s="10" t="s">
        <v>163</v>
      </c>
      <c r="C126" s="18" t="s">
        <v>366</v>
      </c>
      <c r="D126" s="10" t="s">
        <v>243</v>
      </c>
      <c r="E126" s="9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 s="13"/>
      <c r="AP126" s="13"/>
      <c r="AQ126" s="13"/>
      <c r="AR126" s="13"/>
      <c r="AS126" s="13"/>
      <c r="AT126" s="13"/>
      <c r="AU126" s="2"/>
      <c r="AV126" s="2"/>
      <c r="AW126" s="2"/>
      <c r="AX126" s="2"/>
      <c r="AY126" t="str">
        <f t="shared" si="5"/>
        <v xml:space="preserve">2000, 2005, 2012, 2017, </v>
      </c>
    </row>
    <row r="127" spans="1:51" x14ac:dyDescent="0.2">
      <c r="A127" s="9">
        <f t="shared" si="6"/>
        <v>124</v>
      </c>
      <c r="B127" s="10" t="s">
        <v>164</v>
      </c>
      <c r="C127" s="18" t="s">
        <v>367</v>
      </c>
      <c r="D127" s="10" t="s">
        <v>243</v>
      </c>
      <c r="E127" s="9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1</v>
      </c>
      <c r="AO127" s="13"/>
      <c r="AP127" s="13"/>
      <c r="AQ127" s="13"/>
      <c r="AR127" s="13"/>
      <c r="AS127" s="13"/>
      <c r="AT127" s="13"/>
      <c r="AU127" s="2"/>
      <c r="AV127" s="2"/>
      <c r="AW127" s="2"/>
      <c r="AX127" s="2"/>
      <c r="AY127" t="str">
        <f t="shared" si="5"/>
        <v xml:space="preserve">1996, 2000, 2006, 2015, 2019, </v>
      </c>
    </row>
    <row r="128" spans="1:51" x14ac:dyDescent="0.2">
      <c r="A128" s="9">
        <f t="shared" si="6"/>
        <v>125</v>
      </c>
      <c r="B128" s="10" t="s">
        <v>165</v>
      </c>
      <c r="C128" s="18" t="s">
        <v>368</v>
      </c>
      <c r="D128" s="10" t="s">
        <v>243</v>
      </c>
      <c r="E128" s="9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0</v>
      </c>
      <c r="AO128" s="13"/>
      <c r="AP128" s="13"/>
      <c r="AQ128" s="13"/>
      <c r="AR128" s="13"/>
      <c r="AS128" s="13"/>
      <c r="AT128" s="13"/>
      <c r="AU128" s="2"/>
      <c r="AV128" s="2"/>
      <c r="AW128" s="2"/>
      <c r="AX128" s="2"/>
      <c r="AY128" t="str">
        <f t="shared" si="5"/>
        <v xml:space="preserve">2002, 2009, 2016, </v>
      </c>
    </row>
    <row r="129" spans="1:51" x14ac:dyDescent="0.2">
      <c r="A129" s="9">
        <f t="shared" si="6"/>
        <v>126</v>
      </c>
      <c r="B129" s="10" t="s">
        <v>166</v>
      </c>
      <c r="C129" s="18" t="s">
        <v>369</v>
      </c>
      <c r="D129" s="10" t="s">
        <v>243</v>
      </c>
      <c r="E129" s="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 s="13"/>
      <c r="AP129" s="13"/>
      <c r="AQ129" s="13"/>
      <c r="AR129" s="13"/>
      <c r="AS129" s="13"/>
      <c r="AT129" s="13"/>
      <c r="AU129" s="2"/>
      <c r="AV129" s="2"/>
      <c r="AW129" s="2"/>
      <c r="AX129" s="2"/>
      <c r="AY129" t="str">
        <f t="shared" si="5"/>
        <v xml:space="preserve">2012, 2019, </v>
      </c>
    </row>
    <row r="130" spans="1:51" x14ac:dyDescent="0.2">
      <c r="A130" s="9">
        <f t="shared" si="6"/>
        <v>127</v>
      </c>
      <c r="B130" s="10" t="s">
        <v>167</v>
      </c>
      <c r="C130" s="18" t="s">
        <v>370</v>
      </c>
      <c r="D130" s="10" t="s">
        <v>243</v>
      </c>
      <c r="E130" s="9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 s="13"/>
      <c r="AP130" s="13"/>
      <c r="AQ130" s="13"/>
      <c r="AR130" s="13"/>
      <c r="AS130" s="13"/>
      <c r="AT130" s="13"/>
      <c r="AU130" s="2"/>
      <c r="AV130" s="2"/>
      <c r="AW130" s="2"/>
      <c r="AX130" s="2"/>
      <c r="AY130" t="str">
        <f t="shared" si="5"/>
        <v xml:space="preserve">1987, 2000, 2006, 2011, </v>
      </c>
    </row>
    <row r="131" spans="1:51" x14ac:dyDescent="0.2">
      <c r="A131" s="9">
        <f t="shared" si="6"/>
        <v>128</v>
      </c>
      <c r="B131" s="10" t="s">
        <v>168</v>
      </c>
      <c r="C131" s="18" t="s">
        <v>371</v>
      </c>
      <c r="D131" s="10" t="s">
        <v>243</v>
      </c>
      <c r="E131" s="9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 s="13"/>
      <c r="AP131" s="13"/>
      <c r="AQ131" s="13"/>
      <c r="AR131" s="13"/>
      <c r="AS131" s="13"/>
      <c r="AT131" s="13"/>
      <c r="AU131" s="2"/>
      <c r="AV131" s="2"/>
      <c r="AW131" s="2"/>
      <c r="AX131" s="2"/>
      <c r="AY131" t="str">
        <f t="shared" si="5"/>
        <v xml:space="preserve">1988, 2000, 2006, 2011, 2018, </v>
      </c>
    </row>
    <row r="132" spans="1:51" x14ac:dyDescent="0.2">
      <c r="A132" s="9">
        <f t="shared" si="6"/>
        <v>129</v>
      </c>
      <c r="B132" s="10" t="s">
        <v>169</v>
      </c>
      <c r="C132" s="18" t="s">
        <v>372</v>
      </c>
      <c r="D132" s="10" t="s">
        <v>243</v>
      </c>
      <c r="E132" s="9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</v>
      </c>
      <c r="O132">
        <v>0</v>
      </c>
      <c r="P132">
        <v>1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1</v>
      </c>
      <c r="AF132">
        <v>0</v>
      </c>
      <c r="AG132">
        <v>1</v>
      </c>
      <c r="AH132">
        <v>1</v>
      </c>
      <c r="AI132">
        <v>1</v>
      </c>
      <c r="AJ132">
        <v>0</v>
      </c>
      <c r="AK132">
        <v>1</v>
      </c>
      <c r="AL132">
        <v>0</v>
      </c>
      <c r="AM132">
        <v>1</v>
      </c>
      <c r="AN132">
        <v>1</v>
      </c>
      <c r="AO132" s="13"/>
      <c r="AP132" s="13"/>
      <c r="AQ132" s="13"/>
      <c r="AR132" s="13"/>
      <c r="AS132" s="13"/>
      <c r="AT132" s="13"/>
      <c r="AU132" s="2"/>
      <c r="AV132" s="2"/>
      <c r="AW132" s="2"/>
      <c r="AX132" s="2"/>
      <c r="AY132" t="str">
        <f t="shared" si="5"/>
        <v xml:space="preserve">1993, 1995, 1998, 2004, 2008, 2010, 2012, 2013, 2014, 2016, 2018, 2019, </v>
      </c>
    </row>
    <row r="133" spans="1:51" x14ac:dyDescent="0.2">
      <c r="A133" s="9">
        <f t="shared" ref="A133:A193" si="7">1+A132</f>
        <v>130</v>
      </c>
      <c r="B133" s="10" t="s">
        <v>170</v>
      </c>
      <c r="C133" s="18" t="s">
        <v>373</v>
      </c>
      <c r="D133" s="10" t="s">
        <v>243</v>
      </c>
      <c r="E133" s="9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 s="13"/>
      <c r="AP133" s="13"/>
      <c r="AQ133" s="13"/>
      <c r="AR133" s="13"/>
      <c r="AS133" s="13"/>
      <c r="AT133" s="13"/>
      <c r="AU133" s="2"/>
      <c r="AV133" s="2"/>
      <c r="AW133" s="2"/>
      <c r="AX133" s="2"/>
      <c r="AY133" t="str">
        <f t="shared" ref="AY133:AY193" si="8">+IF($F133=1,RIGHT(F$3,4)&amp;", ","")&amp;IF($G133=1,RIGHT(G$3,4)&amp;", ","")&amp;IF($H133=1,RIGHT(H$3,4)&amp;", ","")&amp;IF($I133=1,RIGHT(I$3,4)&amp;", ","")&amp;IF($J133=1,RIGHT(J$3,4)&amp;", ","")&amp;IF($K133=1,RIGHT(K$3,4)&amp;", ","")&amp;IF($L133=1,RIGHT(L$3,4)&amp;", ","")&amp;IF($M133=1,RIGHT(M$3,4)&amp;", ","")&amp;IF($N133=1,RIGHT(N$3,4)&amp;", ","")&amp;IF($O133=1,RIGHT(O$3,4)&amp;", ","")&amp;IF($P133=1,RIGHT(P$3,4)&amp;", ","")&amp;IF($Q133=1,RIGHT(Q$3,4)&amp;", ","")&amp;IF($R133=1,RIGHT(R$3,4)&amp;", ","")&amp;IF($S133=1,RIGHT(S$3,4)&amp;", ","")&amp;IF($T133=1,RIGHT(T$3,4)&amp;", ","")&amp;IF($U133=1,RIGHT(U$3,4)&amp;", ","")&amp;IF($V133=1,RIGHT(V$3,4)&amp;", ","")&amp;IF($W133=1,RIGHT(W$3,4)&amp;", ","")&amp;IF($X133=1,RIGHT(X$3,4)&amp;", ","")&amp;IF($Y133=1,RIGHT(Y$3,4)&amp;", ","")&amp;IF($Z133=1,RIGHT(Z$3,4)&amp;", ","")&amp;IF($AA133=1,RIGHT(AA$3,4)&amp;", ","")&amp;IF($AB133=1,RIGHT(AB$3,4)&amp;", ","")&amp;IF($AC133=1,RIGHT(AC$3,4)&amp;", ","")&amp;IF($AD133=1,RIGHT(AD$3,4)&amp;", ","")&amp;IF($AE133=1,RIGHT(AE$3,4)&amp;", ","")&amp;IF($AF133=1,RIGHT(AF$3,4)&amp;", ","")&amp;IF($AG133=1,RIGHT(AG$3,4)&amp;", ","")&amp;IF($AH133=1,RIGHT(AH$3,4)&amp;", ","")&amp;IF($AI133=1,RIGHT(AI$3,4)&amp;", ","")&amp;IF($AJ133=1,RIGHT(AJ$3,4)&amp;", ","")&amp;IF($AK133=1,RIGHT(AK$3,4)&amp;", ","")&amp;IF($AL133=1,RIGHT(AL$3,4)&amp;", ","")&amp;IF($AM133=1,RIGHT(AM$3,4)&amp;", ","")&amp;IF($AN133=1,RIGHT(AN$3,4)&amp;", ","")&amp;IF($AO133=1,RIGHT(AO$3,4)&amp;", ","")&amp;IF($AP133=1,RIGHT(AP$3,4)&amp;", ","")&amp;IF($AQ133=1,RIGHT(AQ$3,4)&amp;", ","")&amp;IF($AR133=1,RIGHT(AR$3,4)&amp;", ","")&amp;IF($AS133=1,RIGHT(AS$3,4)&amp;", ","")&amp;IF($AT133=1,RIGHT(AT$3,4)&amp;", ","")</f>
        <v xml:space="preserve">2019, </v>
      </c>
    </row>
    <row r="134" spans="1:51" x14ac:dyDescent="0.2">
      <c r="A134" s="9">
        <f t="shared" si="7"/>
        <v>131</v>
      </c>
      <c r="B134" s="10" t="s">
        <v>171</v>
      </c>
      <c r="C134" s="18" t="s">
        <v>374</v>
      </c>
      <c r="D134" s="10" t="s">
        <v>243</v>
      </c>
      <c r="E134" s="9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2</v>
      </c>
      <c r="R134">
        <v>0</v>
      </c>
      <c r="S134">
        <v>0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 s="13"/>
      <c r="AP134" s="13"/>
      <c r="AQ134" s="13"/>
      <c r="AR134" s="13"/>
      <c r="AS134" s="13"/>
      <c r="AT134" s="13"/>
      <c r="AU134" s="2"/>
      <c r="AV134" s="2"/>
      <c r="AW134" s="2"/>
      <c r="AX134" s="2"/>
      <c r="AY134" t="str">
        <f t="shared" si="8"/>
        <v xml:space="preserve">1991, 1999, 2004, 2010, 2015, </v>
      </c>
    </row>
    <row r="135" spans="1:51" x14ac:dyDescent="0.2">
      <c r="A135" s="9">
        <f t="shared" si="7"/>
        <v>132</v>
      </c>
      <c r="B135" s="10" t="s">
        <v>172</v>
      </c>
      <c r="C135" s="18" t="s">
        <v>375</v>
      </c>
      <c r="D135" s="10" t="s">
        <v>243</v>
      </c>
      <c r="E135" s="9">
        <v>0</v>
      </c>
      <c r="F135">
        <v>0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 s="13"/>
      <c r="AP135" s="13"/>
      <c r="AQ135" s="13"/>
      <c r="AR135" s="13"/>
      <c r="AS135" s="13"/>
      <c r="AT135" s="13"/>
      <c r="AU135" s="2"/>
      <c r="AV135" s="2"/>
      <c r="AW135" s="2"/>
      <c r="AX135" s="2"/>
      <c r="AY135" t="str">
        <f t="shared" si="8"/>
        <v xml:space="preserve">1988, 1995, 2000, 2006, 2011, 2016, </v>
      </c>
    </row>
    <row r="136" spans="1:51" x14ac:dyDescent="0.2">
      <c r="A136" s="9">
        <f t="shared" si="7"/>
        <v>133</v>
      </c>
      <c r="B136" s="10" t="s">
        <v>173</v>
      </c>
      <c r="C136" s="18" t="s">
        <v>376</v>
      </c>
      <c r="D136" s="10" t="s">
        <v>243</v>
      </c>
      <c r="E136" s="9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1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s="13"/>
      <c r="AP136" s="13"/>
      <c r="AQ136" s="13"/>
      <c r="AR136" s="13"/>
      <c r="AS136" s="13"/>
      <c r="AT136" s="13"/>
      <c r="AU136" s="2"/>
      <c r="AV136" s="2"/>
      <c r="AW136" s="2"/>
      <c r="AX136" s="2"/>
      <c r="AY136" t="str">
        <f t="shared" si="8"/>
        <v xml:space="preserve">2000, 2005, 2007, 2012, </v>
      </c>
    </row>
    <row r="137" spans="1:51" x14ac:dyDescent="0.2">
      <c r="A137" s="9">
        <f t="shared" si="7"/>
        <v>134</v>
      </c>
      <c r="B137" s="10" t="s">
        <v>174</v>
      </c>
      <c r="C137" s="18" t="s">
        <v>377</v>
      </c>
      <c r="D137" s="10" t="s">
        <v>243</v>
      </c>
      <c r="E137" s="9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 s="13"/>
      <c r="AP137" s="13"/>
      <c r="AQ137" s="13"/>
      <c r="AR137" s="13"/>
      <c r="AS137" s="13"/>
      <c r="AT137" s="13"/>
      <c r="AU137" s="2"/>
      <c r="AV137" s="2"/>
      <c r="AW137" s="2"/>
      <c r="AX137" s="2"/>
      <c r="AY137" t="str">
        <f t="shared" si="8"/>
        <v xml:space="preserve">2012, </v>
      </c>
    </row>
    <row r="138" spans="1:51" x14ac:dyDescent="0.2">
      <c r="A138" s="9">
        <f t="shared" si="7"/>
        <v>135</v>
      </c>
      <c r="B138" s="10" t="s">
        <v>175</v>
      </c>
      <c r="C138" s="18" t="s">
        <v>378</v>
      </c>
      <c r="D138" s="10" t="s">
        <v>243</v>
      </c>
      <c r="E138" s="9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s="13"/>
      <c r="AP138" s="13"/>
      <c r="AQ138" s="13">
        <v>1</v>
      </c>
      <c r="AR138" s="13"/>
      <c r="AS138" s="13"/>
      <c r="AT138" s="13"/>
      <c r="AU138" s="2"/>
      <c r="AV138" s="2"/>
      <c r="AW138" s="2"/>
      <c r="AX138" s="2"/>
      <c r="AY138" t="str">
        <f t="shared" si="8"/>
        <v xml:space="preserve">1996, 2000, 2002, 2006, 2022, </v>
      </c>
    </row>
    <row r="139" spans="1:51" x14ac:dyDescent="0.2">
      <c r="A139" s="9">
        <f t="shared" si="7"/>
        <v>136</v>
      </c>
      <c r="B139" s="10" t="s">
        <v>176</v>
      </c>
      <c r="C139" s="18" t="s">
        <v>379</v>
      </c>
      <c r="D139" s="10" t="s">
        <v>243</v>
      </c>
      <c r="E139" s="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 s="13"/>
      <c r="AP139" s="13"/>
      <c r="AQ139" s="13"/>
      <c r="AR139" s="13"/>
      <c r="AS139" s="13"/>
      <c r="AT139" s="13"/>
      <c r="AU139" s="2"/>
      <c r="AV139" s="2"/>
      <c r="AW139" s="2"/>
      <c r="AX139" s="2"/>
      <c r="AY139" t="str">
        <f t="shared" si="8"/>
        <v xml:space="preserve">2013, </v>
      </c>
    </row>
    <row r="140" spans="1:51" x14ac:dyDescent="0.2">
      <c r="A140" s="9">
        <f t="shared" si="7"/>
        <v>137</v>
      </c>
      <c r="B140" s="10" t="s">
        <v>177</v>
      </c>
      <c r="C140" s="18" t="s">
        <v>380</v>
      </c>
      <c r="D140" s="10" t="s">
        <v>243</v>
      </c>
      <c r="E140" s="9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 s="13"/>
      <c r="AP140" s="13"/>
      <c r="AQ140" s="13"/>
      <c r="AR140" s="13"/>
      <c r="AS140" s="13"/>
      <c r="AT140" s="13"/>
      <c r="AU140" s="2"/>
      <c r="AV140" s="2"/>
      <c r="AW140" s="2"/>
      <c r="AX140" s="2"/>
      <c r="AY140" t="str">
        <f t="shared" si="8"/>
        <v xml:space="preserve">2000, </v>
      </c>
    </row>
    <row r="141" spans="1:51" x14ac:dyDescent="0.2">
      <c r="A141" s="9">
        <f t="shared" si="7"/>
        <v>138</v>
      </c>
      <c r="B141" s="10" t="s">
        <v>178</v>
      </c>
      <c r="C141" s="18" t="s">
        <v>381</v>
      </c>
      <c r="D141" s="10" t="s">
        <v>243</v>
      </c>
      <c r="E141" s="9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1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 s="13"/>
      <c r="AP141" s="13"/>
      <c r="AQ141" s="13"/>
      <c r="AR141" s="13"/>
      <c r="AS141" s="13"/>
      <c r="AT141" s="13"/>
      <c r="AU141" s="2"/>
      <c r="AV141" s="2"/>
      <c r="AW141" s="2"/>
      <c r="AX141" s="2"/>
      <c r="AY141" t="str">
        <f t="shared" si="8"/>
        <v xml:space="preserve">1996, 1997, 2000, 2002, 2006, 2010, 2013, </v>
      </c>
    </row>
    <row r="142" spans="1:51" x14ac:dyDescent="0.2">
      <c r="A142" s="9">
        <f t="shared" si="7"/>
        <v>139</v>
      </c>
      <c r="B142" s="10" t="s">
        <v>179</v>
      </c>
      <c r="C142" s="18" t="s">
        <v>382</v>
      </c>
      <c r="D142" s="10" t="s">
        <v>243</v>
      </c>
      <c r="E142" s="9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 s="13"/>
      <c r="AP142" s="13"/>
      <c r="AQ142" s="13"/>
      <c r="AR142" s="13"/>
      <c r="AS142" s="13"/>
      <c r="AT142" s="13"/>
      <c r="AU142" s="2"/>
      <c r="AV142" s="2"/>
      <c r="AW142" s="2"/>
      <c r="AX142" s="2"/>
      <c r="AY142" t="str">
        <f t="shared" si="8"/>
        <v xml:space="preserve">2007, 2013, </v>
      </c>
    </row>
    <row r="143" spans="1:51" x14ac:dyDescent="0.2">
      <c r="A143" s="9">
        <f t="shared" si="7"/>
        <v>140</v>
      </c>
      <c r="B143" s="10" t="s">
        <v>180</v>
      </c>
      <c r="C143" s="18" t="s">
        <v>383</v>
      </c>
      <c r="D143" s="10" t="s">
        <v>243</v>
      </c>
      <c r="E143" s="9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 s="13"/>
      <c r="AP143" s="13"/>
      <c r="AQ143" s="13"/>
      <c r="AR143" s="13"/>
      <c r="AS143" s="13"/>
      <c r="AT143" s="13"/>
      <c r="AU143" s="2"/>
      <c r="AV143" s="2"/>
      <c r="AW143" s="2"/>
      <c r="AX143" s="2"/>
      <c r="AY143" t="str">
        <f t="shared" si="8"/>
        <v xml:space="preserve">2009, 2019, </v>
      </c>
    </row>
    <row r="144" spans="1:51" x14ac:dyDescent="0.2">
      <c r="A144" s="9">
        <f t="shared" si="7"/>
        <v>141</v>
      </c>
      <c r="B144" s="10" t="s">
        <v>181</v>
      </c>
      <c r="C144" s="18" t="s">
        <v>384</v>
      </c>
      <c r="D144" s="10" t="s">
        <v>243</v>
      </c>
      <c r="E144" s="9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 s="13"/>
      <c r="AP144" s="13"/>
      <c r="AQ144" s="13"/>
      <c r="AR144" s="13"/>
      <c r="AS144" s="13"/>
      <c r="AT144" s="13"/>
      <c r="AU144" s="2"/>
      <c r="AV144" s="2"/>
      <c r="AW144" s="2"/>
      <c r="AX144" s="2"/>
      <c r="AY144" t="str">
        <f t="shared" si="8"/>
        <v xml:space="preserve">2013, 2019, </v>
      </c>
    </row>
    <row r="145" spans="1:51" x14ac:dyDescent="0.2">
      <c r="A145" s="9">
        <f t="shared" si="7"/>
        <v>142</v>
      </c>
      <c r="B145" s="10" t="s">
        <v>182</v>
      </c>
      <c r="C145" s="18" t="s">
        <v>385</v>
      </c>
      <c r="D145" s="10" t="s">
        <v>243</v>
      </c>
      <c r="E145" s="9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 s="13"/>
      <c r="AP145" s="13"/>
      <c r="AQ145" s="13"/>
      <c r="AR145" s="13"/>
      <c r="AS145" s="13"/>
      <c r="AT145" s="13"/>
      <c r="AU145" s="2"/>
      <c r="AV145" s="2"/>
      <c r="AW145" s="2"/>
      <c r="AX145" s="2"/>
      <c r="AY145" t="str">
        <f t="shared" si="8"/>
        <v xml:space="preserve">1991, 1996, 1997, 2006, 2013, </v>
      </c>
    </row>
    <row r="146" spans="1:51" x14ac:dyDescent="0.2">
      <c r="A146" s="9">
        <f t="shared" si="7"/>
        <v>143</v>
      </c>
      <c r="B146" s="10" t="s">
        <v>183</v>
      </c>
      <c r="C146" s="18" t="s">
        <v>386</v>
      </c>
      <c r="D146" s="10" t="s">
        <v>243</v>
      </c>
      <c r="E146" s="9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 s="13"/>
      <c r="AP146" s="13"/>
      <c r="AQ146" s="13"/>
      <c r="AR146" s="13"/>
      <c r="AS146" s="13"/>
      <c r="AT146" s="13"/>
      <c r="AU146" s="2"/>
      <c r="AV146" s="2"/>
      <c r="AW146" s="2"/>
      <c r="AX146" s="2"/>
      <c r="AY146" t="str">
        <f t="shared" si="8"/>
        <v xml:space="preserve">1998, 2003, 2016, </v>
      </c>
    </row>
    <row r="147" spans="1:51" x14ac:dyDescent="0.2">
      <c r="A147" s="9">
        <f t="shared" si="7"/>
        <v>144</v>
      </c>
      <c r="B147" s="10" t="s">
        <v>184</v>
      </c>
      <c r="C147" s="18" t="s">
        <v>387</v>
      </c>
      <c r="D147" s="10" t="s">
        <v>243</v>
      </c>
      <c r="E147" s="9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1</v>
      </c>
      <c r="AN147">
        <v>0</v>
      </c>
      <c r="AO147" s="13"/>
      <c r="AP147" s="13"/>
      <c r="AQ147" s="13"/>
      <c r="AR147" s="13"/>
      <c r="AS147" s="13"/>
      <c r="AT147" s="13"/>
      <c r="AU147" s="2"/>
      <c r="AV147" s="2"/>
      <c r="AW147" s="2"/>
      <c r="AX147" s="2"/>
      <c r="AY147" t="str">
        <f t="shared" si="8"/>
        <v xml:space="preserve">1992, 1995, 1997, 1999, 2001, 2007, 2013, 2018, </v>
      </c>
    </row>
    <row r="148" spans="1:51" ht="17.5" customHeight="1" x14ac:dyDescent="0.2">
      <c r="A148" s="9">
        <f t="shared" si="7"/>
        <v>145</v>
      </c>
      <c r="B148" s="10" t="s">
        <v>185</v>
      </c>
      <c r="C148" s="18" t="s">
        <v>388</v>
      </c>
      <c r="D148" s="10" t="s">
        <v>243</v>
      </c>
      <c r="E148" s="9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1</v>
      </c>
      <c r="AE148">
        <v>1</v>
      </c>
      <c r="AF148">
        <v>0</v>
      </c>
      <c r="AG148">
        <v>0</v>
      </c>
      <c r="AH148">
        <v>0</v>
      </c>
      <c r="AI148">
        <v>1</v>
      </c>
      <c r="AJ148">
        <v>1</v>
      </c>
      <c r="AK148">
        <v>0</v>
      </c>
      <c r="AL148">
        <v>0</v>
      </c>
      <c r="AM148">
        <v>0</v>
      </c>
      <c r="AN148">
        <v>1</v>
      </c>
      <c r="AO148" s="13"/>
      <c r="AP148" s="13"/>
      <c r="AQ148" s="13"/>
      <c r="AR148" s="13"/>
      <c r="AS148" s="13"/>
      <c r="AT148" s="13"/>
      <c r="AU148" s="2"/>
      <c r="AV148" s="2"/>
      <c r="AW148" s="2"/>
      <c r="AX148" s="2"/>
      <c r="AY148" t="str">
        <f t="shared" si="8"/>
        <v xml:space="preserve">1989, 1994, 1999, 2005, 2009, 2010, 2014, 2015, 2019, </v>
      </c>
    </row>
    <row r="149" spans="1:51" x14ac:dyDescent="0.2">
      <c r="A149" s="9">
        <f t="shared" si="7"/>
        <v>146</v>
      </c>
      <c r="B149" s="24" t="s">
        <v>186</v>
      </c>
      <c r="C149" s="18" t="s">
        <v>389</v>
      </c>
      <c r="D149" s="10" t="s">
        <v>243</v>
      </c>
      <c r="E149" s="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</v>
      </c>
      <c r="AN149">
        <v>0</v>
      </c>
      <c r="AO149" s="24"/>
      <c r="AP149" s="24"/>
      <c r="AQ149" s="24"/>
      <c r="AR149" s="24"/>
      <c r="AS149" s="24"/>
      <c r="AT149" s="24"/>
      <c r="AU149" s="24"/>
      <c r="AV149" s="2"/>
      <c r="AW149" s="2"/>
      <c r="AX149" s="2"/>
      <c r="AY149" t="str">
        <f t="shared" si="8"/>
        <v xml:space="preserve">2000, 2018, </v>
      </c>
    </row>
    <row r="150" spans="1:51" x14ac:dyDescent="0.2">
      <c r="A150" s="9">
        <f t="shared" si="7"/>
        <v>147</v>
      </c>
      <c r="B150" s="24" t="s">
        <v>187</v>
      </c>
      <c r="C150" s="18" t="s">
        <v>390</v>
      </c>
      <c r="D150" s="10" t="s">
        <v>243</v>
      </c>
      <c r="E150" s="9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 s="24"/>
      <c r="AP150" s="24"/>
      <c r="AQ150" s="24"/>
      <c r="AR150" s="24"/>
      <c r="AS150" s="24"/>
      <c r="AT150" s="24"/>
      <c r="AU150" s="24"/>
      <c r="AV150" s="2"/>
      <c r="AW150" s="2"/>
      <c r="AX150" s="2"/>
      <c r="AY150" t="str">
        <f t="shared" si="8"/>
        <v xml:space="preserve">2012, </v>
      </c>
    </row>
    <row r="151" spans="1:51" x14ac:dyDescent="0.2">
      <c r="A151" s="9">
        <f t="shared" si="7"/>
        <v>148</v>
      </c>
      <c r="B151" s="24" t="s">
        <v>188</v>
      </c>
      <c r="C151" s="18" t="s">
        <v>391</v>
      </c>
      <c r="D151" s="10" t="s">
        <v>243</v>
      </c>
      <c r="E151" s="9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0</v>
      </c>
      <c r="AL151">
        <v>0</v>
      </c>
      <c r="AM151">
        <v>0</v>
      </c>
      <c r="AN151">
        <v>1</v>
      </c>
      <c r="AO151" s="24"/>
      <c r="AP151" s="24"/>
      <c r="AQ151" s="24"/>
      <c r="AR151" s="24"/>
      <c r="AS151" s="24"/>
      <c r="AT151" s="24"/>
      <c r="AU151" s="25" t="s">
        <v>392</v>
      </c>
      <c r="AV151" s="28" t="s">
        <v>393</v>
      </c>
      <c r="AW151" s="2"/>
      <c r="AX151" s="2"/>
      <c r="AY151" t="str">
        <f t="shared" si="8"/>
        <v xml:space="preserve">1993, 1996, 1999, 2002, 2008, 2014, 2019, </v>
      </c>
    </row>
    <row r="152" spans="1:51" x14ac:dyDescent="0.2">
      <c r="A152" s="9">
        <f t="shared" si="7"/>
        <v>149</v>
      </c>
      <c r="B152" s="24" t="s">
        <v>189</v>
      </c>
      <c r="C152" s="18" t="s">
        <v>394</v>
      </c>
      <c r="D152" s="10" t="s">
        <v>243</v>
      </c>
      <c r="E152" s="9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0</v>
      </c>
      <c r="AI152">
        <v>1</v>
      </c>
      <c r="AJ152">
        <v>0</v>
      </c>
      <c r="AK152">
        <v>0</v>
      </c>
      <c r="AL152">
        <v>0</v>
      </c>
      <c r="AM152">
        <v>0</v>
      </c>
      <c r="AN152">
        <v>1</v>
      </c>
      <c r="AO152" s="24"/>
      <c r="AP152" s="24"/>
      <c r="AQ152" s="24"/>
      <c r="AR152" s="24"/>
      <c r="AS152" s="24"/>
      <c r="AT152" s="24"/>
      <c r="AU152" s="25" t="s">
        <v>395</v>
      </c>
      <c r="AV152" s="2"/>
      <c r="AW152" s="2"/>
      <c r="AX152" s="2"/>
      <c r="AY152" t="str">
        <f t="shared" si="8"/>
        <v xml:space="preserve">2009, 2014, 2019, </v>
      </c>
    </row>
    <row r="153" spans="1:51" x14ac:dyDescent="0.2">
      <c r="A153" s="9">
        <f t="shared" si="7"/>
        <v>150</v>
      </c>
      <c r="B153" s="24" t="s">
        <v>190</v>
      </c>
      <c r="C153" s="18" t="s">
        <v>396</v>
      </c>
      <c r="D153" s="10" t="s">
        <v>243</v>
      </c>
      <c r="E153" s="9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1</v>
      </c>
      <c r="AJ153">
        <v>0</v>
      </c>
      <c r="AK153">
        <v>0</v>
      </c>
      <c r="AL153">
        <v>0</v>
      </c>
      <c r="AM153">
        <v>0</v>
      </c>
      <c r="AN153">
        <v>1</v>
      </c>
      <c r="AO153" s="24"/>
      <c r="AP153" s="24"/>
      <c r="AQ153" s="24"/>
      <c r="AR153" s="24"/>
      <c r="AS153" s="24"/>
      <c r="AT153" s="24"/>
      <c r="AU153" s="25" t="s">
        <v>397</v>
      </c>
      <c r="AV153" s="2" t="s">
        <v>398</v>
      </c>
      <c r="AW153" s="2"/>
      <c r="AX153" s="2"/>
      <c r="AY153" t="str">
        <f t="shared" si="8"/>
        <v xml:space="preserve">2009, 2014, 2019, </v>
      </c>
    </row>
    <row r="154" spans="1:51" x14ac:dyDescent="0.2">
      <c r="A154" s="9">
        <f t="shared" si="7"/>
        <v>151</v>
      </c>
      <c r="B154" s="26" t="s">
        <v>191</v>
      </c>
      <c r="C154" s="18" t="s">
        <v>399</v>
      </c>
      <c r="D154" s="10" t="s">
        <v>243</v>
      </c>
      <c r="E154" s="9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</v>
      </c>
      <c r="AJ154">
        <v>0</v>
      </c>
      <c r="AK154">
        <v>0</v>
      </c>
      <c r="AL154">
        <v>0</v>
      </c>
      <c r="AM154">
        <v>0</v>
      </c>
      <c r="AN154">
        <v>1</v>
      </c>
      <c r="AO154" s="26"/>
      <c r="AP154" s="26"/>
      <c r="AQ154" s="26"/>
      <c r="AR154" s="26"/>
      <c r="AS154" s="26"/>
      <c r="AT154" s="26"/>
      <c r="AU154" s="32" t="s">
        <v>246</v>
      </c>
      <c r="AV154" s="22"/>
      <c r="AW154" s="2"/>
      <c r="AX154" s="2"/>
      <c r="AY154" t="str">
        <f t="shared" si="8"/>
        <v xml:space="preserve">2008, 2014, 2019, </v>
      </c>
    </row>
    <row r="155" spans="1:51" x14ac:dyDescent="0.2">
      <c r="A155" s="9">
        <f t="shared" si="7"/>
        <v>152</v>
      </c>
      <c r="B155" s="24" t="s">
        <v>192</v>
      </c>
      <c r="C155" s="18" t="s">
        <v>400</v>
      </c>
      <c r="D155" s="10" t="s">
        <v>243</v>
      </c>
      <c r="E155" s="9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0</v>
      </c>
      <c r="AL155">
        <v>0</v>
      </c>
      <c r="AM155">
        <v>0</v>
      </c>
      <c r="AN155">
        <v>1</v>
      </c>
      <c r="AO155" s="24"/>
      <c r="AP155" s="24"/>
      <c r="AQ155" s="24"/>
      <c r="AR155" s="24"/>
      <c r="AS155" s="24"/>
      <c r="AT155" s="24"/>
      <c r="AU155" s="24" t="s">
        <v>401</v>
      </c>
      <c r="AV155" s="2"/>
      <c r="AW155" s="2"/>
      <c r="AX155" s="2"/>
      <c r="AY155" t="str">
        <f t="shared" si="8"/>
        <v xml:space="preserve">2014, 2019, </v>
      </c>
    </row>
    <row r="156" spans="1:51" x14ac:dyDescent="0.2">
      <c r="A156" s="9">
        <f t="shared" si="7"/>
        <v>153</v>
      </c>
      <c r="B156" s="24" t="s">
        <v>193</v>
      </c>
      <c r="C156" s="18" t="s">
        <v>402</v>
      </c>
      <c r="D156" s="10" t="s">
        <v>243</v>
      </c>
      <c r="E156" s="9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</v>
      </c>
      <c r="AJ156">
        <v>0</v>
      </c>
      <c r="AK156">
        <v>0</v>
      </c>
      <c r="AL156">
        <v>0</v>
      </c>
      <c r="AM156">
        <v>0</v>
      </c>
      <c r="AN156">
        <v>0</v>
      </c>
      <c r="AO156" s="24"/>
      <c r="AP156" s="24"/>
      <c r="AQ156" s="24"/>
      <c r="AR156" s="24"/>
      <c r="AS156" s="24"/>
      <c r="AT156" s="24"/>
      <c r="AU156" s="24"/>
      <c r="AV156" s="2"/>
      <c r="AW156" s="2"/>
      <c r="AX156" s="2"/>
      <c r="AY156" t="str">
        <f t="shared" si="8"/>
        <v xml:space="preserve">1995, 2014, </v>
      </c>
    </row>
    <row r="157" spans="1:51" x14ac:dyDescent="0.2">
      <c r="A157" s="9">
        <f t="shared" si="7"/>
        <v>154</v>
      </c>
      <c r="B157" s="24" t="s">
        <v>194</v>
      </c>
      <c r="C157" s="18" t="s">
        <v>403</v>
      </c>
      <c r="D157" s="10" t="s">
        <v>243</v>
      </c>
      <c r="E157" s="9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1</v>
      </c>
      <c r="AN157">
        <v>0</v>
      </c>
      <c r="AO157" s="24"/>
      <c r="AP157" s="24"/>
      <c r="AQ157" s="24"/>
      <c r="AR157" s="24">
        <v>1</v>
      </c>
      <c r="AS157" s="24"/>
      <c r="AT157" s="24"/>
      <c r="AU157" s="25" t="s">
        <v>404</v>
      </c>
      <c r="AV157" s="2"/>
      <c r="AW157" s="2"/>
      <c r="AX157" s="2"/>
      <c r="AY157" t="str">
        <f t="shared" si="8"/>
        <v xml:space="preserve">2017, 2018, 2023, </v>
      </c>
    </row>
    <row r="158" spans="1:51" x14ac:dyDescent="0.2">
      <c r="A158" s="9">
        <f t="shared" si="7"/>
        <v>155</v>
      </c>
      <c r="B158" s="24" t="s">
        <v>195</v>
      </c>
      <c r="C158" s="18" t="s">
        <v>405</v>
      </c>
      <c r="D158" s="10" t="s">
        <v>243</v>
      </c>
      <c r="E158" s="9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>
        <v>0</v>
      </c>
      <c r="AG158">
        <v>0</v>
      </c>
      <c r="AH158">
        <v>0</v>
      </c>
      <c r="AI158">
        <v>1</v>
      </c>
      <c r="AJ158">
        <v>0</v>
      </c>
      <c r="AK158">
        <v>0</v>
      </c>
      <c r="AL158">
        <v>0</v>
      </c>
      <c r="AM158">
        <v>0</v>
      </c>
      <c r="AN158">
        <v>1</v>
      </c>
      <c r="AO158" s="24"/>
      <c r="AP158" s="24"/>
      <c r="AQ158" s="24"/>
      <c r="AR158" s="24"/>
      <c r="AS158" s="24"/>
      <c r="AT158" s="24"/>
      <c r="AU158" s="25" t="s">
        <v>406</v>
      </c>
      <c r="AV158" s="2"/>
      <c r="AW158" s="2"/>
      <c r="AX158" s="2"/>
      <c r="AY158" t="str">
        <f t="shared" si="8"/>
        <v xml:space="preserve">2009, 2014, 2019, </v>
      </c>
    </row>
    <row r="159" spans="1:51" x14ac:dyDescent="0.2">
      <c r="A159" s="9">
        <f t="shared" si="7"/>
        <v>156</v>
      </c>
      <c r="B159" s="2" t="s">
        <v>196</v>
      </c>
      <c r="C159" s="18" t="s">
        <v>407</v>
      </c>
      <c r="D159" s="10" t="s">
        <v>243</v>
      </c>
      <c r="E159" s="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 s="2"/>
      <c r="AP159" s="2"/>
      <c r="AQ159" s="2"/>
      <c r="AR159" s="2"/>
      <c r="AS159" s="2"/>
      <c r="AT159" s="2"/>
      <c r="AU159" s="2" t="s">
        <v>408</v>
      </c>
      <c r="AV159" s="2"/>
      <c r="AW159" s="2"/>
      <c r="AX159" s="2"/>
      <c r="AY159" t="str">
        <f t="shared" si="8"/>
        <v xml:space="preserve">2019, </v>
      </c>
    </row>
    <row r="160" spans="1:51" x14ac:dyDescent="0.2">
      <c r="A160" s="9">
        <f t="shared" si="7"/>
        <v>157</v>
      </c>
      <c r="B160" s="2" t="s">
        <v>197</v>
      </c>
      <c r="C160" s="18" t="s">
        <v>409</v>
      </c>
      <c r="D160" s="10" t="s">
        <v>243</v>
      </c>
      <c r="E160" s="9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t="str">
        <f t="shared" si="8"/>
        <v/>
      </c>
    </row>
    <row r="161" spans="1:51" x14ac:dyDescent="0.2">
      <c r="A161" s="9">
        <f t="shared" si="7"/>
        <v>158</v>
      </c>
      <c r="B161" s="2" t="s">
        <v>198</v>
      </c>
      <c r="C161" s="18" t="s">
        <v>410</v>
      </c>
      <c r="D161" s="10" t="s">
        <v>243</v>
      </c>
      <c r="E161" s="9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1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1</v>
      </c>
      <c r="AJ161">
        <v>0</v>
      </c>
      <c r="AK161">
        <v>0</v>
      </c>
      <c r="AL161">
        <v>1</v>
      </c>
      <c r="AM161">
        <v>0</v>
      </c>
      <c r="AN161">
        <v>0</v>
      </c>
      <c r="AO161" s="2"/>
      <c r="AP161" s="2"/>
      <c r="AQ161" s="2">
        <v>1</v>
      </c>
      <c r="AR161" s="2"/>
      <c r="AS161" s="2">
        <v>1</v>
      </c>
      <c r="AT161" s="2"/>
      <c r="AU161" s="28" t="s">
        <v>411</v>
      </c>
      <c r="AV161" s="2" t="s">
        <v>412</v>
      </c>
      <c r="AW161" s="2"/>
      <c r="AX161" s="2"/>
      <c r="AY161" t="str">
        <f t="shared" si="8"/>
        <v xml:space="preserve">1989, 1995, 2001, 2004, 2007, 2011, 2014, 2017, 2022, 2024, </v>
      </c>
    </row>
    <row r="162" spans="1:51" x14ac:dyDescent="0.2">
      <c r="A162" s="9">
        <f t="shared" si="7"/>
        <v>159</v>
      </c>
      <c r="B162" s="2" t="s">
        <v>199</v>
      </c>
      <c r="C162" s="18" t="s">
        <v>413</v>
      </c>
      <c r="D162" s="10" t="s">
        <v>243</v>
      </c>
      <c r="E162" s="9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</v>
      </c>
      <c r="AJ162">
        <v>0</v>
      </c>
      <c r="AK162">
        <v>0</v>
      </c>
      <c r="AL162">
        <v>0</v>
      </c>
      <c r="AM162">
        <v>0</v>
      </c>
      <c r="AN162">
        <v>1</v>
      </c>
      <c r="AO162" s="2"/>
      <c r="AP162" s="2"/>
      <c r="AQ162" s="2"/>
      <c r="AR162" s="2"/>
      <c r="AS162" s="2"/>
      <c r="AT162" s="2"/>
      <c r="AU162" s="28" t="s">
        <v>414</v>
      </c>
      <c r="AV162" s="2" t="s">
        <v>415</v>
      </c>
      <c r="AW162" s="2"/>
      <c r="AX162" s="2"/>
      <c r="AY162" t="str">
        <f t="shared" si="8"/>
        <v xml:space="preserve">2006, 2014, 2019, </v>
      </c>
    </row>
    <row r="163" spans="1:51" x14ac:dyDescent="0.2">
      <c r="A163" s="9">
        <f t="shared" si="7"/>
        <v>160</v>
      </c>
      <c r="B163" s="2" t="s">
        <v>200</v>
      </c>
      <c r="C163" s="18" t="s">
        <v>416</v>
      </c>
      <c r="D163" s="10" t="s">
        <v>243</v>
      </c>
      <c r="E163" s="9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 s="2"/>
      <c r="AP163" s="2"/>
      <c r="AQ163" s="2"/>
      <c r="AR163" s="2"/>
      <c r="AS163" s="2">
        <v>1</v>
      </c>
      <c r="AT163" s="2"/>
      <c r="AU163" s="28" t="s">
        <v>246</v>
      </c>
      <c r="AV163" s="29" t="s">
        <v>417</v>
      </c>
      <c r="AW163" s="2"/>
      <c r="AX163" s="2"/>
      <c r="AY163" t="str">
        <f t="shared" si="8"/>
        <v xml:space="preserve">2008, 2013, 2019, 2024, </v>
      </c>
    </row>
    <row r="164" spans="1:51" x14ac:dyDescent="0.2">
      <c r="A164" s="9">
        <f t="shared" si="7"/>
        <v>161</v>
      </c>
      <c r="B164" s="2" t="s">
        <v>201</v>
      </c>
      <c r="C164" s="18" t="s">
        <v>418</v>
      </c>
      <c r="D164" s="10" t="s">
        <v>243</v>
      </c>
      <c r="E164" s="9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t="str">
        <f t="shared" si="8"/>
        <v/>
      </c>
    </row>
    <row r="165" spans="1:51" x14ac:dyDescent="0.2">
      <c r="A165" s="9">
        <f t="shared" si="7"/>
        <v>162</v>
      </c>
      <c r="B165" s="2" t="s">
        <v>202</v>
      </c>
      <c r="C165" s="18" t="s">
        <v>419</v>
      </c>
      <c r="D165" s="10" t="s">
        <v>243</v>
      </c>
      <c r="E165" s="9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t="str">
        <f t="shared" si="8"/>
        <v/>
      </c>
    </row>
    <row r="166" spans="1:51" x14ac:dyDescent="0.2">
      <c r="A166" s="9">
        <f t="shared" si="7"/>
        <v>163</v>
      </c>
      <c r="B166" s="2" t="s">
        <v>203</v>
      </c>
      <c r="C166" s="18" t="s">
        <v>420</v>
      </c>
      <c r="D166" s="10" t="s">
        <v>243</v>
      </c>
      <c r="E166" s="9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1</v>
      </c>
      <c r="V166">
        <v>0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 s="2">
        <v>1</v>
      </c>
      <c r="AP166" s="2">
        <v>1</v>
      </c>
      <c r="AQ166" s="2">
        <v>1</v>
      </c>
      <c r="AR166" s="2">
        <v>1</v>
      </c>
      <c r="AS166" s="2">
        <v>1</v>
      </c>
      <c r="AT166" s="2">
        <v>1</v>
      </c>
      <c r="AU166" s="28" t="s">
        <v>421</v>
      </c>
      <c r="AV166" s="28" t="s">
        <v>422</v>
      </c>
      <c r="AW166" s="2"/>
      <c r="AX166" s="2"/>
      <c r="AY166" t="str">
        <f t="shared" si="8"/>
        <v xml:space="preserve">1994, 1996, 1998, 2000, 2002, 2003, 2004, 2005, 2006, 2007, 2008, 2009, 2010, 2011, 2012, 2013, 2014, 2015, 2016, 2017, 2018, 2019, 2020, 2021, 2022, 2023, 2024, 2025, </v>
      </c>
    </row>
    <row r="167" spans="1:51" x14ac:dyDescent="0.2">
      <c r="A167" s="9">
        <f t="shared" si="7"/>
        <v>164</v>
      </c>
      <c r="B167" s="2" t="s">
        <v>204</v>
      </c>
      <c r="C167" s="18" t="s">
        <v>423</v>
      </c>
      <c r="D167" s="10" t="s">
        <v>243</v>
      </c>
      <c r="E167" s="9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1</v>
      </c>
      <c r="AO167" s="2"/>
      <c r="AP167" s="2"/>
      <c r="AQ167" s="2"/>
      <c r="AR167" s="2"/>
      <c r="AS167" s="2"/>
      <c r="AT167" s="2"/>
      <c r="AU167" s="28" t="s">
        <v>424</v>
      </c>
      <c r="AV167" s="2"/>
      <c r="AW167" s="2"/>
      <c r="AX167" s="2"/>
      <c r="AY167" t="str">
        <f t="shared" si="8"/>
        <v xml:space="preserve">1992, 1997, 2002, 2007, 2012, 2017, 2019, </v>
      </c>
    </row>
    <row r="168" spans="1:51" x14ac:dyDescent="0.2">
      <c r="A168" s="9">
        <f t="shared" si="7"/>
        <v>165</v>
      </c>
      <c r="B168" s="2" t="s">
        <v>205</v>
      </c>
      <c r="C168" s="18" t="s">
        <v>425</v>
      </c>
      <c r="D168" s="10" t="s">
        <v>243</v>
      </c>
      <c r="E168" s="9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1</v>
      </c>
      <c r="AO168" s="2"/>
      <c r="AP168" s="2"/>
      <c r="AQ168" s="2"/>
      <c r="AR168" s="2"/>
      <c r="AS168" s="2"/>
      <c r="AT168" s="2"/>
      <c r="AU168" s="28" t="s">
        <v>426</v>
      </c>
      <c r="AV168" s="2"/>
      <c r="AW168" s="2"/>
      <c r="AX168" s="2"/>
      <c r="AY168" t="str">
        <f t="shared" si="8"/>
        <v xml:space="preserve">2008, 2014, 2019, </v>
      </c>
    </row>
    <row r="169" spans="1:51" x14ac:dyDescent="0.2">
      <c r="A169" s="9">
        <f t="shared" si="7"/>
        <v>166</v>
      </c>
      <c r="B169" s="2" t="s">
        <v>206</v>
      </c>
      <c r="C169" s="18" t="s">
        <v>427</v>
      </c>
      <c r="D169" s="10" t="s">
        <v>243</v>
      </c>
      <c r="E169" s="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1</v>
      </c>
      <c r="AO169" s="2">
        <v>1</v>
      </c>
      <c r="AP169" s="2"/>
      <c r="AQ169" s="2"/>
      <c r="AR169" s="2"/>
      <c r="AS169" s="2"/>
      <c r="AT169" s="2"/>
      <c r="AU169" s="28" t="s">
        <v>246</v>
      </c>
      <c r="AV169" s="2"/>
      <c r="AW169" s="2"/>
      <c r="AX169" s="2"/>
      <c r="AY169" t="str">
        <f t="shared" si="8"/>
        <v xml:space="preserve">2009, 2015, 2019, 2020, </v>
      </c>
    </row>
    <row r="170" spans="1:51" x14ac:dyDescent="0.2">
      <c r="A170" s="9">
        <f t="shared" si="7"/>
        <v>167</v>
      </c>
      <c r="B170" s="2" t="s">
        <v>207</v>
      </c>
      <c r="C170" s="18" t="s">
        <v>428</v>
      </c>
      <c r="D170" s="10" t="s">
        <v>243</v>
      </c>
      <c r="E170" s="9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1</v>
      </c>
      <c r="AO170" s="2"/>
      <c r="AP170" s="2"/>
      <c r="AQ170" s="2"/>
      <c r="AR170" s="2"/>
      <c r="AS170" s="2"/>
      <c r="AT170" s="2"/>
      <c r="AU170" s="28" t="s">
        <v>246</v>
      </c>
      <c r="AV170" s="2"/>
      <c r="AW170" s="2"/>
      <c r="AX170" s="2"/>
      <c r="AY170" t="str">
        <f t="shared" si="8"/>
        <v xml:space="preserve">2015, 2019, </v>
      </c>
    </row>
    <row r="171" spans="1:51" x14ac:dyDescent="0.2">
      <c r="A171" s="9">
        <f t="shared" si="7"/>
        <v>168</v>
      </c>
      <c r="B171" s="2" t="s">
        <v>208</v>
      </c>
      <c r="C171" s="18" t="s">
        <v>429</v>
      </c>
      <c r="D171" s="10" t="s">
        <v>243</v>
      </c>
      <c r="E171" s="9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0</v>
      </c>
      <c r="X171">
        <v>1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1</v>
      </c>
      <c r="AE171">
        <v>0</v>
      </c>
      <c r="AF171">
        <v>1</v>
      </c>
      <c r="AG171">
        <v>0</v>
      </c>
      <c r="AH171">
        <v>0</v>
      </c>
      <c r="AI171">
        <v>1</v>
      </c>
      <c r="AJ171">
        <v>0</v>
      </c>
      <c r="AK171">
        <v>0</v>
      </c>
      <c r="AL171">
        <v>1</v>
      </c>
      <c r="AM171">
        <v>0</v>
      </c>
      <c r="AN171">
        <v>1</v>
      </c>
      <c r="AO171" s="2"/>
      <c r="AP171" s="2"/>
      <c r="AQ171" s="2"/>
      <c r="AR171" s="2"/>
      <c r="AS171" s="2"/>
      <c r="AT171" s="2"/>
      <c r="AU171" s="28" t="s">
        <v>430</v>
      </c>
      <c r="AV171" s="30" t="s">
        <v>431</v>
      </c>
      <c r="AW171" s="2" t="s">
        <v>432</v>
      </c>
      <c r="AX171" s="2"/>
      <c r="AY171" t="str">
        <f t="shared" si="8"/>
        <v xml:space="preserve">1993, 1995, 1997, 2001, 2003, 2006, 2009, 2011, 2014, 2017, 2019, </v>
      </c>
    </row>
    <row r="172" spans="1:51" x14ac:dyDescent="0.2">
      <c r="A172" s="9">
        <f>1+A171</f>
        <v>169</v>
      </c>
      <c r="B172" s="2" t="s">
        <v>209</v>
      </c>
      <c r="C172" s="18" t="s">
        <v>433</v>
      </c>
      <c r="D172" s="10" t="s">
        <v>243</v>
      </c>
      <c r="E172" s="9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1</v>
      </c>
      <c r="AO172" s="2"/>
      <c r="AP172" s="2"/>
      <c r="AQ172" s="2"/>
      <c r="AR172" s="2"/>
      <c r="AS172" s="2">
        <v>1</v>
      </c>
      <c r="AT172" s="2"/>
      <c r="AU172" s="28" t="s">
        <v>434</v>
      </c>
      <c r="AV172" s="2" t="s">
        <v>246</v>
      </c>
      <c r="AW172" s="2" t="s">
        <v>435</v>
      </c>
      <c r="AX172" s="2" t="s">
        <v>436</v>
      </c>
      <c r="AY172" t="str">
        <f t="shared" si="8"/>
        <v xml:space="preserve">1996, 2006, 2014, 2019, 2024, </v>
      </c>
    </row>
    <row r="173" spans="1:51" x14ac:dyDescent="0.2">
      <c r="A173" s="9">
        <f t="shared" si="7"/>
        <v>170</v>
      </c>
      <c r="B173" s="2" t="s">
        <v>210</v>
      </c>
      <c r="C173" s="18" t="s">
        <v>437</v>
      </c>
      <c r="D173" s="10" t="s">
        <v>243</v>
      </c>
      <c r="E173" s="9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0</v>
      </c>
      <c r="AM173">
        <v>0</v>
      </c>
      <c r="AN173">
        <v>1</v>
      </c>
      <c r="AO173" s="2"/>
      <c r="AP173" s="2"/>
      <c r="AQ173" s="2"/>
      <c r="AR173" s="2"/>
      <c r="AS173" s="2"/>
      <c r="AT173" s="2"/>
      <c r="AU173" s="28" t="s">
        <v>246</v>
      </c>
      <c r="AV173" s="2"/>
      <c r="AW173" s="2"/>
      <c r="AX173" s="2"/>
      <c r="AY173" t="str">
        <f t="shared" si="8"/>
        <v xml:space="preserve">2014, 2019, </v>
      </c>
    </row>
    <row r="174" spans="1:51" x14ac:dyDescent="0.2">
      <c r="A174" s="9">
        <f t="shared" si="7"/>
        <v>171</v>
      </c>
      <c r="B174" s="2" t="s">
        <v>211</v>
      </c>
      <c r="C174" s="18" t="s">
        <v>438</v>
      </c>
      <c r="D174" s="10" t="s">
        <v>243</v>
      </c>
      <c r="E174" s="9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1</v>
      </c>
      <c r="AO174" s="2"/>
      <c r="AP174" s="2"/>
      <c r="AQ174" s="2"/>
      <c r="AR174" s="2"/>
      <c r="AS174" s="2">
        <v>1</v>
      </c>
      <c r="AT174" s="2"/>
      <c r="AU174" s="28" t="s">
        <v>439</v>
      </c>
      <c r="AV174" s="28" t="s">
        <v>440</v>
      </c>
      <c r="AW174" s="2"/>
      <c r="AX174" s="2"/>
      <c r="AY174" t="str">
        <f t="shared" si="8"/>
        <v xml:space="preserve">2003, 2008, 2014, 2019, 2024, </v>
      </c>
    </row>
    <row r="175" spans="1:51" x14ac:dyDescent="0.2">
      <c r="A175" s="9">
        <f t="shared" si="7"/>
        <v>172</v>
      </c>
      <c r="B175" s="2" t="s">
        <v>212</v>
      </c>
      <c r="C175" s="18" t="s">
        <v>441</v>
      </c>
      <c r="D175" s="10" t="s">
        <v>243</v>
      </c>
      <c r="E175" s="9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 s="2"/>
      <c r="AP175" s="2"/>
      <c r="AQ175" s="2"/>
      <c r="AR175" s="2"/>
      <c r="AS175" s="2">
        <v>1</v>
      </c>
      <c r="AT175" s="2"/>
      <c r="AU175" s="29" t="s">
        <v>246</v>
      </c>
      <c r="AV175" s="29" t="s">
        <v>442</v>
      </c>
      <c r="AW175" s="2"/>
      <c r="AX175" s="2"/>
      <c r="AY175" t="str">
        <f t="shared" si="8"/>
        <v xml:space="preserve">2013, 2024, </v>
      </c>
    </row>
    <row r="176" spans="1:51" x14ac:dyDescent="0.2">
      <c r="A176" s="9">
        <f t="shared" si="7"/>
        <v>173</v>
      </c>
      <c r="B176" s="2" t="s">
        <v>213</v>
      </c>
      <c r="C176" s="18" t="s">
        <v>443</v>
      </c>
      <c r="D176" s="10" t="s">
        <v>243</v>
      </c>
      <c r="E176" s="9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1</v>
      </c>
      <c r="AO176" s="2"/>
      <c r="AP176" s="2"/>
      <c r="AQ176" s="2"/>
      <c r="AR176" s="2"/>
      <c r="AS176" s="2"/>
      <c r="AT176" s="2"/>
      <c r="AU176" s="28" t="s">
        <v>444</v>
      </c>
      <c r="AV176" s="2" t="s">
        <v>445</v>
      </c>
      <c r="AW176" s="2" t="s">
        <v>446</v>
      </c>
      <c r="AX176" s="2"/>
      <c r="AY176" t="str">
        <f t="shared" si="8"/>
        <v xml:space="preserve">2015, 2019, </v>
      </c>
    </row>
    <row r="177" spans="1:51" x14ac:dyDescent="0.2">
      <c r="A177" s="9">
        <f t="shared" si="7"/>
        <v>174</v>
      </c>
      <c r="B177" s="2" t="s">
        <v>214</v>
      </c>
      <c r="C177" s="18" t="s">
        <v>447</v>
      </c>
      <c r="D177" s="10" t="s">
        <v>243</v>
      </c>
      <c r="E177" s="9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1</v>
      </c>
      <c r="AO177" s="2"/>
      <c r="AP177" s="2"/>
      <c r="AQ177" s="2"/>
      <c r="AR177" s="2"/>
      <c r="AS177" s="2"/>
      <c r="AT177" s="2"/>
      <c r="AU177" s="28" t="s">
        <v>448</v>
      </c>
      <c r="AV177" s="2" t="s">
        <v>449</v>
      </c>
      <c r="AW177" s="2"/>
      <c r="AX177" s="2"/>
      <c r="AY177" t="str">
        <f t="shared" si="8"/>
        <v xml:space="preserve">2015, 2019, </v>
      </c>
    </row>
    <row r="178" spans="1:51" x14ac:dyDescent="0.2">
      <c r="A178" s="9">
        <f t="shared" si="7"/>
        <v>175</v>
      </c>
      <c r="B178" s="2" t="s">
        <v>215</v>
      </c>
      <c r="C178" s="18" t="s">
        <v>450</v>
      </c>
      <c r="D178" s="10" t="s">
        <v>243</v>
      </c>
      <c r="E178" s="9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1</v>
      </c>
      <c r="AK178">
        <v>0</v>
      </c>
      <c r="AL178">
        <v>1</v>
      </c>
      <c r="AM178">
        <v>0</v>
      </c>
      <c r="AN178">
        <v>1</v>
      </c>
      <c r="AO178" s="2">
        <v>1</v>
      </c>
      <c r="AP178" s="2"/>
      <c r="AQ178" s="2"/>
      <c r="AR178" s="2"/>
      <c r="AS178" s="2"/>
      <c r="AT178" s="2"/>
      <c r="AU178" s="29" t="s">
        <v>451</v>
      </c>
      <c r="AV178" s="2" t="s">
        <v>452</v>
      </c>
      <c r="AW178" s="2" t="s">
        <v>453</v>
      </c>
      <c r="AX178" s="28" t="s">
        <v>454</v>
      </c>
      <c r="AY178" t="str">
        <f t="shared" si="8"/>
        <v xml:space="preserve">1995, 2009, 2015, 2017, 2019, 2020, </v>
      </c>
    </row>
    <row r="179" spans="1:51" x14ac:dyDescent="0.2">
      <c r="A179" s="9">
        <f t="shared" si="7"/>
        <v>176</v>
      </c>
      <c r="B179" s="2" t="s">
        <v>216</v>
      </c>
      <c r="C179" s="18" t="s">
        <v>455</v>
      </c>
      <c r="D179" s="10" t="s">
        <v>243</v>
      </c>
      <c r="E179" s="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1</v>
      </c>
      <c r="AO179" s="2"/>
      <c r="AP179" s="2"/>
      <c r="AQ179" s="2"/>
      <c r="AR179" s="2"/>
      <c r="AS179" s="2">
        <v>1</v>
      </c>
      <c r="AT179" s="2"/>
      <c r="AU179" s="28" t="s">
        <v>456</v>
      </c>
      <c r="AV179" s="28" t="s">
        <v>457</v>
      </c>
      <c r="AW179" s="2"/>
      <c r="AX179" s="2"/>
      <c r="AY179" t="str">
        <f t="shared" si="8"/>
        <v xml:space="preserve">1994, 2000, 2012, 2015, 2019, 2024, </v>
      </c>
    </row>
    <row r="180" spans="1:51" x14ac:dyDescent="0.2">
      <c r="A180" s="9">
        <f t="shared" si="7"/>
        <v>177</v>
      </c>
      <c r="B180" s="2" t="s">
        <v>217</v>
      </c>
      <c r="C180" s="18" t="s">
        <v>458</v>
      </c>
      <c r="D180" s="10" t="s">
        <v>243</v>
      </c>
      <c r="E180" s="9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1</v>
      </c>
      <c r="AL180">
        <v>0</v>
      </c>
      <c r="AM180">
        <v>0</v>
      </c>
      <c r="AN180">
        <v>1</v>
      </c>
      <c r="AO180" s="2"/>
      <c r="AP180" s="2"/>
      <c r="AQ180" s="2">
        <v>1</v>
      </c>
      <c r="AR180" s="2"/>
      <c r="AS180" s="2"/>
      <c r="AT180" s="2">
        <v>1</v>
      </c>
      <c r="AU180" s="28" t="s">
        <v>459</v>
      </c>
      <c r="AV180" s="29" t="s">
        <v>460</v>
      </c>
      <c r="AW180" s="28" t="s">
        <v>461</v>
      </c>
      <c r="AX180" s="28" t="s">
        <v>462</v>
      </c>
      <c r="AY180" t="str">
        <f t="shared" si="8"/>
        <v xml:space="preserve">2001, 2004, 2007, 2010, 2013, 2016, 2019, 2022, 2025, </v>
      </c>
    </row>
    <row r="181" spans="1:51" x14ac:dyDescent="0.2">
      <c r="A181" s="9">
        <f t="shared" si="7"/>
        <v>178</v>
      </c>
      <c r="B181" s="2" t="s">
        <v>218</v>
      </c>
      <c r="C181" s="18" t="s">
        <v>463</v>
      </c>
      <c r="D181" s="10" t="s">
        <v>243</v>
      </c>
      <c r="E181" s="9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1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0</v>
      </c>
      <c r="AO181" s="2">
        <v>1</v>
      </c>
      <c r="AP181" s="2">
        <v>1</v>
      </c>
      <c r="AQ181" s="2">
        <v>1</v>
      </c>
      <c r="AR181" s="2">
        <v>1</v>
      </c>
      <c r="AS181" s="2"/>
      <c r="AT181" s="2"/>
      <c r="AU181" s="28" t="s">
        <v>464</v>
      </c>
      <c r="AV181" s="2"/>
      <c r="AW181" s="28" t="s">
        <v>465</v>
      </c>
      <c r="AX181" s="2"/>
      <c r="AY181" t="str">
        <f t="shared" si="8"/>
        <v xml:space="preserve">1998, 2001, 2005, 2007, 2008, 2009, 2010, 2011, 2012, 2013, 2014, 2015, 2016, 2017, 2018, 2020, 2021, 2022, 2023, </v>
      </c>
    </row>
    <row r="182" spans="1:51" x14ac:dyDescent="0.2">
      <c r="A182" s="9">
        <f t="shared" si="7"/>
        <v>179</v>
      </c>
      <c r="B182" s="2" t="s">
        <v>219</v>
      </c>
      <c r="C182" s="18" t="s">
        <v>466</v>
      </c>
      <c r="D182" s="10" t="s">
        <v>243</v>
      </c>
      <c r="E182" s="9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 s="2"/>
      <c r="AP182" s="2"/>
      <c r="AQ182" s="2"/>
      <c r="AR182" s="2"/>
      <c r="AS182" s="2"/>
      <c r="AT182" s="2"/>
      <c r="AU182" s="2" t="s">
        <v>467</v>
      </c>
      <c r="AV182" s="2"/>
      <c r="AW182" s="2"/>
      <c r="AX182" s="2"/>
      <c r="AY182" t="str">
        <f t="shared" si="8"/>
        <v/>
      </c>
    </row>
    <row r="183" spans="1:51" x14ac:dyDescent="0.2">
      <c r="A183" s="9">
        <f t="shared" si="7"/>
        <v>180</v>
      </c>
      <c r="B183" s="2" t="s">
        <v>220</v>
      </c>
      <c r="C183" s="18" t="s">
        <v>468</v>
      </c>
      <c r="D183" s="10" t="s">
        <v>243</v>
      </c>
      <c r="E183" s="9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</v>
      </c>
      <c r="AJ183">
        <v>0</v>
      </c>
      <c r="AK183">
        <v>0</v>
      </c>
      <c r="AL183">
        <v>0</v>
      </c>
      <c r="AM183">
        <v>0</v>
      </c>
      <c r="AN183">
        <v>1</v>
      </c>
      <c r="AO183" s="2"/>
      <c r="AP183" s="2"/>
      <c r="AQ183" s="2"/>
      <c r="AR183" s="2"/>
      <c r="AS183" s="2">
        <v>1</v>
      </c>
      <c r="AT183" s="2"/>
      <c r="AU183" s="28" t="s">
        <v>246</v>
      </c>
      <c r="AV183" s="28"/>
      <c r="AW183" s="2"/>
      <c r="AX183" s="2"/>
      <c r="AY183" t="str">
        <f t="shared" si="8"/>
        <v xml:space="preserve">2014, 2019, 2024, </v>
      </c>
    </row>
    <row r="184" spans="1:51" x14ac:dyDescent="0.2">
      <c r="A184" s="9">
        <f t="shared" si="7"/>
        <v>181</v>
      </c>
      <c r="B184" s="2" t="s">
        <v>221</v>
      </c>
      <c r="C184" s="18" t="s">
        <v>469</v>
      </c>
      <c r="D184" s="10" t="s">
        <v>243</v>
      </c>
      <c r="E184" s="9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0</v>
      </c>
      <c r="AM184">
        <v>0</v>
      </c>
      <c r="AN184">
        <v>1</v>
      </c>
      <c r="AO184" s="2"/>
      <c r="AP184" s="2"/>
      <c r="AQ184" s="2"/>
      <c r="AR184" s="2"/>
      <c r="AS184" s="2"/>
      <c r="AT184" s="2"/>
      <c r="AU184" s="2" t="s">
        <v>246</v>
      </c>
      <c r="AV184" s="2"/>
      <c r="AW184" s="2"/>
      <c r="AX184" s="2"/>
      <c r="AY184" t="str">
        <f t="shared" si="8"/>
        <v xml:space="preserve">2008, 2014, 2019, </v>
      </c>
    </row>
    <row r="185" spans="1:51" x14ac:dyDescent="0.2">
      <c r="A185" s="9">
        <f t="shared" si="7"/>
        <v>182</v>
      </c>
      <c r="B185" s="2" t="s">
        <v>222</v>
      </c>
      <c r="C185" s="18" t="s">
        <v>470</v>
      </c>
      <c r="D185" s="10" t="s">
        <v>243</v>
      </c>
      <c r="E185" s="9">
        <v>0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 s="2"/>
      <c r="AP185" s="2"/>
      <c r="AQ185" s="2"/>
      <c r="AR185" s="2"/>
      <c r="AS185" s="2">
        <v>1</v>
      </c>
      <c r="AT185" s="2"/>
      <c r="AU185" s="28" t="s">
        <v>471</v>
      </c>
      <c r="AV185" s="2" t="s">
        <v>472</v>
      </c>
      <c r="AW185" s="2"/>
      <c r="AX185" s="2"/>
      <c r="AY185" t="str">
        <f t="shared" si="8"/>
        <v xml:space="preserve">1985, 1986, 1987, 1988, 1989, 1990, 1991, 1992, 1993, 1994, 1995, 1996, 1997, 1998, 1999, 2000, 2001, 2002, 2003, 2004, 2005, 2006, 2007, 2008, 2009, 2010, 2011, 2012, 2013, 2014, 2015, 2016, 2017, 2018, 2019, 2024, </v>
      </c>
    </row>
    <row r="186" spans="1:51" x14ac:dyDescent="0.2">
      <c r="A186" s="9">
        <f t="shared" si="7"/>
        <v>183</v>
      </c>
      <c r="B186" s="2" t="s">
        <v>223</v>
      </c>
      <c r="C186" s="18" t="s">
        <v>473</v>
      </c>
      <c r="D186" s="10" t="s">
        <v>243</v>
      </c>
      <c r="E186" s="9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1</v>
      </c>
      <c r="AO186" s="2"/>
      <c r="AP186" s="2">
        <v>1</v>
      </c>
      <c r="AQ186" s="2"/>
      <c r="AR186" s="2"/>
      <c r="AS186" s="2"/>
      <c r="AT186" s="2"/>
      <c r="AU186" s="28" t="s">
        <v>474</v>
      </c>
      <c r="AV186" s="28" t="s">
        <v>475</v>
      </c>
      <c r="AW186" s="2" t="s">
        <v>476</v>
      </c>
      <c r="AX186" s="2"/>
      <c r="AY186" t="str">
        <f t="shared" si="8"/>
        <v xml:space="preserve">1998, 2002, 2005, 2008, 2012, 2015, 2019, 2021, </v>
      </c>
    </row>
    <row r="187" spans="1:51" x14ac:dyDescent="0.2">
      <c r="A187" s="9">
        <f t="shared" si="7"/>
        <v>184</v>
      </c>
      <c r="B187" s="2" t="s">
        <v>224</v>
      </c>
      <c r="C187" s="18" t="s">
        <v>477</v>
      </c>
      <c r="D187" s="10" t="s">
        <v>243</v>
      </c>
      <c r="E187" s="9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 s="2">
        <v>1</v>
      </c>
      <c r="AQ187" s="2">
        <v>1</v>
      </c>
      <c r="AR187" s="2">
        <v>1</v>
      </c>
      <c r="AS187" s="2">
        <v>1</v>
      </c>
      <c r="AT187" s="2">
        <v>1</v>
      </c>
      <c r="AU187" s="2" t="s">
        <v>478</v>
      </c>
      <c r="AV187" s="2"/>
      <c r="AW187" s="2"/>
      <c r="AX187" s="2"/>
      <c r="AY187" t="str">
        <f t="shared" si="8"/>
        <v xml:space="preserve">2020, 2022, 2023, 2024, 2025, </v>
      </c>
    </row>
    <row r="188" spans="1:51" x14ac:dyDescent="0.2">
      <c r="A188" s="9">
        <f t="shared" si="7"/>
        <v>185</v>
      </c>
      <c r="B188" s="2" t="s">
        <v>225</v>
      </c>
      <c r="C188" s="18" t="s">
        <v>479</v>
      </c>
      <c r="D188" s="10" t="s">
        <v>243</v>
      </c>
      <c r="E188" s="9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1</v>
      </c>
      <c r="AO188" s="2"/>
      <c r="AP188" s="2"/>
      <c r="AQ188" s="2"/>
      <c r="AR188" s="2"/>
      <c r="AS188" s="2">
        <v>1</v>
      </c>
      <c r="AT188" s="2"/>
      <c r="AU188" s="28" t="s">
        <v>480</v>
      </c>
      <c r="AV188" s="28" t="s">
        <v>481</v>
      </c>
      <c r="AW188" s="2"/>
      <c r="AX188" s="2"/>
      <c r="AY188" t="str">
        <f t="shared" si="8"/>
        <v xml:space="preserve">2005, 2014, 2019, 2024, </v>
      </c>
    </row>
    <row r="189" spans="1:51" x14ac:dyDescent="0.2">
      <c r="A189" s="9">
        <f t="shared" si="7"/>
        <v>186</v>
      </c>
      <c r="B189" s="2" t="s">
        <v>226</v>
      </c>
      <c r="C189" s="18" t="s">
        <v>482</v>
      </c>
      <c r="D189" s="10" t="s">
        <v>243</v>
      </c>
      <c r="E189" s="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 s="2"/>
      <c r="AP189" s="2"/>
      <c r="AQ189" s="2"/>
      <c r="AR189" s="2"/>
      <c r="AS189" s="2"/>
      <c r="AT189" s="2"/>
      <c r="AU189" s="2" t="s">
        <v>483</v>
      </c>
      <c r="AV189" s="2"/>
      <c r="AW189" s="2"/>
      <c r="AX189" s="2"/>
      <c r="AY189" t="str">
        <f t="shared" si="8"/>
        <v xml:space="preserve">2012, </v>
      </c>
    </row>
    <row r="190" spans="1:51" x14ac:dyDescent="0.2">
      <c r="A190" s="9">
        <f t="shared" si="7"/>
        <v>187</v>
      </c>
      <c r="B190" s="2" t="s">
        <v>227</v>
      </c>
      <c r="C190" s="18" t="s">
        <v>484</v>
      </c>
      <c r="D190" s="10" t="s">
        <v>243</v>
      </c>
      <c r="E190" s="9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1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1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 s="2">
        <v>1</v>
      </c>
      <c r="AP190" s="2"/>
      <c r="AQ190" s="2"/>
      <c r="AR190" s="2"/>
      <c r="AS190" s="2"/>
      <c r="AT190" s="2"/>
      <c r="AU190" s="2" t="s">
        <v>485</v>
      </c>
      <c r="AV190" s="2" t="s">
        <v>486</v>
      </c>
      <c r="AW190" s="2" t="s">
        <v>487</v>
      </c>
      <c r="AX190" s="2"/>
      <c r="AY190" t="str">
        <f t="shared" si="8"/>
        <v xml:space="preserve">1992, 1998, 2001, 2004, 2007, 2010, 2013, 2016, 2020, </v>
      </c>
    </row>
    <row r="191" spans="1:51" x14ac:dyDescent="0.2">
      <c r="A191" s="9">
        <f t="shared" si="7"/>
        <v>188</v>
      </c>
      <c r="B191" s="2" t="s">
        <v>228</v>
      </c>
      <c r="C191" s="18" t="s">
        <v>488</v>
      </c>
      <c r="D191" s="10" t="s">
        <v>243</v>
      </c>
      <c r="E191" s="9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</v>
      </c>
      <c r="AJ191">
        <v>0</v>
      </c>
      <c r="AK191">
        <v>0</v>
      </c>
      <c r="AL191">
        <v>0</v>
      </c>
      <c r="AM191">
        <v>0</v>
      </c>
      <c r="AN191">
        <v>1</v>
      </c>
      <c r="AO191" s="2"/>
      <c r="AP191" s="2"/>
      <c r="AQ191" s="2"/>
      <c r="AR191" s="2"/>
      <c r="AS191" s="2"/>
      <c r="AT191" s="2"/>
      <c r="AU191" s="28" t="s">
        <v>246</v>
      </c>
      <c r="AV191" s="2"/>
      <c r="AW191" s="2"/>
      <c r="AX191" s="2"/>
      <c r="AY191" t="str">
        <f t="shared" si="8"/>
        <v xml:space="preserve">2007, 2014, 2019, </v>
      </c>
    </row>
    <row r="192" spans="1:51" x14ac:dyDescent="0.2">
      <c r="A192" s="9">
        <f t="shared" si="7"/>
        <v>189</v>
      </c>
      <c r="B192" s="2" t="s">
        <v>229</v>
      </c>
      <c r="C192" s="18" t="s">
        <v>489</v>
      </c>
      <c r="D192" s="10" t="s">
        <v>243</v>
      </c>
      <c r="E192" s="9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0</v>
      </c>
      <c r="AL192">
        <v>0</v>
      </c>
      <c r="AM192">
        <v>0</v>
      </c>
      <c r="AN192">
        <v>1</v>
      </c>
      <c r="AO192" s="2"/>
      <c r="AP192" s="2"/>
      <c r="AQ192" s="2"/>
      <c r="AR192" s="2"/>
      <c r="AS192" s="2"/>
      <c r="AT192" s="2"/>
      <c r="AU192" s="28" t="s">
        <v>246</v>
      </c>
      <c r="AV192" s="29"/>
      <c r="AW192" s="2"/>
      <c r="AX192" s="2"/>
      <c r="AY192" t="str">
        <f t="shared" si="8"/>
        <v xml:space="preserve">2014, 2019, </v>
      </c>
    </row>
    <row r="193" spans="1:51" x14ac:dyDescent="0.2">
      <c r="A193" s="9">
        <f t="shared" si="7"/>
        <v>190</v>
      </c>
      <c r="B193" s="2" t="s">
        <v>230</v>
      </c>
      <c r="C193" s="18" t="s">
        <v>490</v>
      </c>
      <c r="D193" s="10" t="s">
        <v>243</v>
      </c>
      <c r="E193" s="9">
        <v>0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 s="2">
        <v>1</v>
      </c>
      <c r="AP193" s="2">
        <v>1</v>
      </c>
      <c r="AQ193" s="2">
        <v>1</v>
      </c>
      <c r="AR193" s="2">
        <v>1</v>
      </c>
      <c r="AS193" s="2">
        <v>1</v>
      </c>
      <c r="AT193" s="2">
        <v>1</v>
      </c>
      <c r="AU193" s="28" t="s">
        <v>491</v>
      </c>
      <c r="AV193" s="28" t="s">
        <v>492</v>
      </c>
      <c r="AW193" s="2"/>
      <c r="AX193" s="2"/>
      <c r="AY193" t="str">
        <f t="shared" si="8"/>
        <v xml:space="preserve">1985, 1986, 1987, 1988, 1989, 1990, 1991, 1992, 1993, 1994, 1995, 1996, 1997, 1998, 1999, 2000, 2001, 2002, 2003, 2004, 2005, 2006, 2007, 2008, 2009, 2010, 2011, 2012, 2013, 2014, 2015, 2016, 2017, 2018, 2019, 2020, 2021, 2022, 2023, 2024, 2025, </v>
      </c>
    </row>
  </sheetData>
  <mergeCells count="1">
    <mergeCell ref="A1:B1"/>
  </mergeCells>
  <phoneticPr fontId="6" type="noConversion"/>
  <hyperlinks>
    <hyperlink ref="AU153" r:id="rId1" xr:uid="{825CA162-48F0-45DA-9EE1-236C94FDF0C8}"/>
    <hyperlink ref="AU151" r:id="rId2" xr:uid="{3E83B08B-A50F-4607-85F7-1534B161A3D6}"/>
    <hyperlink ref="AV171" r:id="rId3" xr:uid="{7B6F629E-9908-4EEC-8BD1-7395AB48D6E2}"/>
    <hyperlink ref="AV175" r:id="rId4" xr:uid="{70A78B0A-F50B-43B4-86FB-D1871B4DA162}"/>
    <hyperlink ref="AV180" r:id="rId5" xr:uid="{13106DE9-76A4-40AA-87ED-A4521B291D91}"/>
    <hyperlink ref="AW180" r:id="rId6" xr:uid="{4ACF1BB0-431E-48B4-9CD4-0CCCF940D3A1}"/>
    <hyperlink ref="AU185" r:id="rId7" location="id=gecon-gezondheidsenquete-2019-0" xr:uid="{32716EEE-CC48-4816-94E7-B8CC9CAEE0D2}"/>
    <hyperlink ref="AV163" r:id="rId8" xr:uid="{9F83ADE9-1786-4E0C-89C9-03A6232F153F}"/>
    <hyperlink ref="AU178" r:id="rId9" xr:uid="{443A7F28-1BD9-449E-8FC9-871D8FFE07A1}"/>
    <hyperlink ref="AU175" r:id="rId10" xr:uid="{9DA74F05-2AA2-4C1B-8415-FE511E9B33D4}"/>
    <hyperlink ref="AU152" r:id="rId11" xr:uid="{6B58DD49-EE68-4427-8376-50F57EC3B560}"/>
    <hyperlink ref="AU157" r:id="rId12" xr:uid="{4CC94269-80CB-4372-B4ED-A702134D66C7}"/>
    <hyperlink ref="AU158" r:id="rId13" display="https://slovak.statistics.sk/wps/portal/ext/themes/demography/health/about/!ut/p/z1/pZNNc4IwEIZ_iweOJRsSQ-wt2Bqxjgqotbl00KHIjICDtLT_vtiPA1pDO92cMnnedzebDVJohVQWviRxWCZ5Fu7q_YNij57tcsfBAriztMC1Jz6-8zyJfYruT4CJfwvuXMykP6IYaBepxnHXBnAnwQJgGUAwZV_6vhRDao8B-Fh2wRXDhd_zCAFBTvQX8sOFEPA7vaZATf1iSPT6I6DTz1lLfvY__RH44_3PAKVvbxBltYf6wHSv2OajtIMicQsA3w6DYGaJHpX9G386qCexb_FgzCyANgdGzoBmLxy7JYVkaIRUsk7NapOaYFqU9oBxDJhzsGxy_EwiWxMeI1VET1ERFeZzUf-xbVnuD9cGGFBVlRnnebyLzE2eGvCTZJsfSrRqkmifLj5j9eom9bpS67dKdDrvzj5Ymw!!/dz/d5/L2dBISEvZ0FBIS9nQSEh/" xr:uid="{F88A2D5E-750E-42F8-818C-A3DFF546ADC5}"/>
    <hyperlink ref="AU161" r:id="rId14" display="https://www.abs.gov.au/AUSSTATS/abs@.nsf/second+level+view?ReadForm&amp;prodno=4324.0.55.001&amp;viewtitle=Microdata:%20Australian%20Health%20Survey,%20National%20Health%20Survey~2011-12~Previous~24/09/2013&amp;&amp;tabname=Past%20Future%20Issues&amp;prodno=4324.0.55.001&amp;issue=2011-12&amp;num=&amp;view=&amp;" xr:uid="{D05E16EC-5ED5-4AD2-B807-4A5D61B1124A}"/>
    <hyperlink ref="AU162" r:id="rId15" xr:uid="{E9AEE40B-4598-4F8B-9FDE-3431A25BD9F6}"/>
    <hyperlink ref="AU163" r:id="rId16" xr:uid="{F5A347F9-5612-4E0A-9409-DFB95428D655}"/>
    <hyperlink ref="AU166" r:id="rId17" xr:uid="{AA7D3175-1E61-4BBE-AD5E-FFD8F237C059}"/>
    <hyperlink ref="AU167" r:id="rId18" xr:uid="{CBCE1D2C-4A74-4928-8910-017533353E10}"/>
    <hyperlink ref="AU168" r:id="rId19" xr:uid="{1BE7066E-E732-4177-B882-1FF3DFBAA709}"/>
    <hyperlink ref="AU171" r:id="rId20" xr:uid="{AA8A5E9E-37D2-4994-B5F3-53FC4DB497A4}"/>
    <hyperlink ref="AU173" r:id="rId21" xr:uid="{DC2F19CA-F606-4CB4-9ED8-9BF6E7096E2E}"/>
    <hyperlink ref="AU176" r:id="rId22" xr:uid="{ECD27DB7-553D-4295-96FB-85289FC471E5}"/>
    <hyperlink ref="AU177" r:id="rId23" xr:uid="{88745DB7-47F6-459C-9787-E0A5695EFFE7}"/>
    <hyperlink ref="AU179" r:id="rId24" xr:uid="{DE49FFE8-33F1-4ECC-BFF2-18BFBCACF622}"/>
    <hyperlink ref="AV179" r:id="rId25" xr:uid="{13C2927D-B4AD-4B53-9760-B190B78B3B88}"/>
    <hyperlink ref="AU180" r:id="rId26" xr:uid="{7730883F-4551-47BA-8B3C-316195863537}"/>
    <hyperlink ref="AU181" r:id="rId27" location="SelectStatsBoxDiv" xr:uid="{1255FDA6-5929-4B0A-A990-FF1A4DADFFCF}"/>
    <hyperlink ref="AW181" r:id="rId28" xr:uid="{EE6F20C0-9207-4E3A-A8AD-08C41D2ECE28}"/>
    <hyperlink ref="AU183" r:id="rId29" xr:uid="{97150B88-470C-4CF1-ADD9-DE04C0B6318C}"/>
    <hyperlink ref="AU186" r:id="rId30" xr:uid="{1CFCC8E2-8986-448B-A1E9-2E0B63B06790}"/>
    <hyperlink ref="AV186" r:id="rId31" xr:uid="{23FDB280-0804-4C2C-B4D0-6B2B170FB7B0}"/>
    <hyperlink ref="AU188" r:id="rId32" xr:uid="{C213892E-7963-413C-B9F7-B67E8FCE458D}"/>
    <hyperlink ref="AV188" r:id="rId33" xr:uid="{19BA76C8-E1FB-4AEF-AD22-4C7938CAF48C}"/>
    <hyperlink ref="AU193" r:id="rId34" xr:uid="{3C8BDB83-7A2A-4A81-A692-37CB3F7DF77A}"/>
    <hyperlink ref="AU174" r:id="rId35" xr:uid="{C2E8F023-E46A-4B93-AE3B-C0B05B23CA48}"/>
    <hyperlink ref="AX178" r:id="rId36" xr:uid="{A8C5223F-674E-49F9-B4B0-37C0913D8E92}"/>
    <hyperlink ref="AV151" r:id="rId37" xr:uid="{6C1ED42E-3ECF-4A90-A254-4E557A8192FC}"/>
    <hyperlink ref="AU154" r:id="rId38" xr:uid="{FF14B80F-BC20-47AF-8A23-84BB8C09A5B7}"/>
    <hyperlink ref="AU169" r:id="rId39" xr:uid="{DA4D46F1-1AEA-4993-9B4F-49E862D375C5}"/>
    <hyperlink ref="AU170" r:id="rId40" xr:uid="{5851511B-3347-4BF7-B3BD-40109B413330}"/>
    <hyperlink ref="AU172" r:id="rId41" location="Kuidas-andmeid-kogutakse-114" xr:uid="{2AB22F7E-1C54-4384-A771-BD87001D2238}"/>
    <hyperlink ref="AV174" r:id="rId42" xr:uid="{82D95A07-205F-467C-9BB9-740168B3682D}"/>
    <hyperlink ref="AX180" r:id="rId43" xr:uid="{6B0864A8-B5C4-48C7-AE3C-807A57DEB746}"/>
    <hyperlink ref="AU191" r:id="rId44" xr:uid="{E0366D4D-967C-4EDA-BD94-5EEB4D1E26BF}"/>
    <hyperlink ref="AU192" r:id="rId45" xr:uid="{1C0A9137-495B-4875-950F-FFFAA5109F7A}"/>
    <hyperlink ref="AV193" r:id="rId46" xr:uid="{59A61076-33A5-403B-B4A7-AABAA0C41A21}"/>
  </hyperlinks>
  <pageMargins left="0.7" right="0.7" top="0.75" bottom="0.75" header="0.3" footer="0.3"/>
  <pageSetup orientation="portrait" r:id="rId47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151"/>
  <sheetViews>
    <sheetView topLeftCell="A7" workbookViewId="0">
      <selection activeCell="H60" sqref="H60"/>
    </sheetView>
  </sheetViews>
  <sheetFormatPr baseColWidth="10" defaultColWidth="9.33203125" defaultRowHeight="15" x14ac:dyDescent="0.2"/>
  <sheetData>
    <row r="1" spans="1:23" x14ac:dyDescent="0.2">
      <c r="B1" t="s">
        <v>18</v>
      </c>
      <c r="C1" t="s">
        <v>19</v>
      </c>
      <c r="D1" t="s">
        <v>20</v>
      </c>
      <c r="E1" t="s">
        <v>21</v>
      </c>
      <c r="F1" t="s">
        <v>22</v>
      </c>
      <c r="J1" s="1">
        <v>2014</v>
      </c>
      <c r="K1">
        <v>2002</v>
      </c>
      <c r="L1">
        <v>2003</v>
      </c>
      <c r="M1">
        <v>2004</v>
      </c>
      <c r="N1">
        <v>2005</v>
      </c>
      <c r="O1">
        <v>2006</v>
      </c>
      <c r="S1">
        <v>2002</v>
      </c>
      <c r="T1">
        <v>2003</v>
      </c>
      <c r="U1">
        <v>2004</v>
      </c>
      <c r="V1">
        <v>2005</v>
      </c>
      <c r="W1">
        <v>2006</v>
      </c>
    </row>
    <row r="3" spans="1:23" x14ac:dyDescent="0.2">
      <c r="A3" t="s">
        <v>40</v>
      </c>
      <c r="B3">
        <v>0</v>
      </c>
      <c r="C3">
        <v>1</v>
      </c>
      <c r="D3">
        <v>0</v>
      </c>
      <c r="E3">
        <v>1</v>
      </c>
      <c r="J3" t="s">
        <v>40</v>
      </c>
      <c r="K3">
        <v>0</v>
      </c>
      <c r="L3">
        <v>1</v>
      </c>
      <c r="M3">
        <v>0</v>
      </c>
      <c r="N3">
        <v>1</v>
      </c>
      <c r="S3" t="b">
        <f>B3=K3</f>
        <v>1</v>
      </c>
      <c r="T3" t="b">
        <f t="shared" ref="T3:W3" si="0">C3=L3</f>
        <v>1</v>
      </c>
      <c r="U3" t="b">
        <f t="shared" si="0"/>
        <v>1</v>
      </c>
      <c r="V3" t="b">
        <f t="shared" si="0"/>
        <v>1</v>
      </c>
      <c r="W3" t="b">
        <f t="shared" si="0"/>
        <v>1</v>
      </c>
    </row>
    <row r="4" spans="1:23" x14ac:dyDescent="0.2">
      <c r="A4" t="s">
        <v>42</v>
      </c>
      <c r="B4">
        <v>0</v>
      </c>
      <c r="C4">
        <v>0</v>
      </c>
      <c r="D4">
        <v>0</v>
      </c>
      <c r="E4">
        <v>0</v>
      </c>
      <c r="J4" t="s">
        <v>42</v>
      </c>
      <c r="K4">
        <v>0</v>
      </c>
      <c r="L4">
        <v>0</v>
      </c>
      <c r="M4">
        <v>0</v>
      </c>
      <c r="N4">
        <v>0</v>
      </c>
      <c r="S4" t="b">
        <f t="shared" ref="S4:S67" si="1">B4=K4</f>
        <v>1</v>
      </c>
      <c r="T4" t="b">
        <f t="shared" ref="T4:T67" si="2">C4=L4</f>
        <v>1</v>
      </c>
      <c r="U4" t="b">
        <f t="shared" ref="U4:U67" si="3">D4=M4</f>
        <v>1</v>
      </c>
      <c r="V4" t="b">
        <f t="shared" ref="V4:V67" si="4">E4=N4</f>
        <v>1</v>
      </c>
      <c r="W4" t="b">
        <f t="shared" ref="W4:W67" si="5">F4=O4</f>
        <v>1</v>
      </c>
    </row>
    <row r="5" spans="1:23" x14ac:dyDescent="0.2">
      <c r="A5" t="s">
        <v>43</v>
      </c>
      <c r="B5">
        <v>1</v>
      </c>
      <c r="C5">
        <v>1</v>
      </c>
      <c r="D5">
        <v>1</v>
      </c>
      <c r="E5">
        <v>2</v>
      </c>
      <c r="J5" t="s">
        <v>43</v>
      </c>
      <c r="K5">
        <v>1</v>
      </c>
      <c r="L5">
        <v>1</v>
      </c>
      <c r="M5">
        <v>1</v>
      </c>
      <c r="N5">
        <v>2</v>
      </c>
      <c r="S5" t="b">
        <f t="shared" si="1"/>
        <v>1</v>
      </c>
      <c r="T5" t="b">
        <f t="shared" si="2"/>
        <v>1</v>
      </c>
      <c r="U5" t="b">
        <f t="shared" si="3"/>
        <v>1</v>
      </c>
      <c r="V5" t="b">
        <f t="shared" si="4"/>
        <v>1</v>
      </c>
      <c r="W5" t="b">
        <f t="shared" si="5"/>
        <v>1</v>
      </c>
    </row>
    <row r="6" spans="1:23" x14ac:dyDescent="0.2">
      <c r="A6" t="s">
        <v>44</v>
      </c>
      <c r="B6">
        <v>0</v>
      </c>
      <c r="C6">
        <v>0</v>
      </c>
      <c r="D6">
        <v>0.5</v>
      </c>
      <c r="E6">
        <v>0</v>
      </c>
      <c r="J6" t="s">
        <v>44</v>
      </c>
      <c r="K6">
        <v>0</v>
      </c>
      <c r="L6">
        <v>0</v>
      </c>
      <c r="M6">
        <v>0.5</v>
      </c>
      <c r="N6">
        <v>0</v>
      </c>
      <c r="S6" t="b">
        <f t="shared" si="1"/>
        <v>1</v>
      </c>
      <c r="T6" t="b">
        <f t="shared" si="2"/>
        <v>1</v>
      </c>
      <c r="U6" t="b">
        <f t="shared" si="3"/>
        <v>1</v>
      </c>
      <c r="V6" t="b">
        <f t="shared" si="4"/>
        <v>1</v>
      </c>
      <c r="W6" t="b">
        <f t="shared" si="5"/>
        <v>1</v>
      </c>
    </row>
    <row r="7" spans="1:23" x14ac:dyDescent="0.2">
      <c r="A7" t="s">
        <v>45</v>
      </c>
      <c r="B7">
        <v>1</v>
      </c>
      <c r="C7">
        <v>1</v>
      </c>
      <c r="D7">
        <v>1</v>
      </c>
      <c r="E7">
        <v>1</v>
      </c>
      <c r="F7">
        <v>1</v>
      </c>
      <c r="J7" t="s">
        <v>45</v>
      </c>
      <c r="K7">
        <v>1</v>
      </c>
      <c r="L7">
        <v>1</v>
      </c>
      <c r="M7">
        <v>1</v>
      </c>
      <c r="N7">
        <v>1</v>
      </c>
      <c r="O7">
        <v>1</v>
      </c>
      <c r="S7" t="b">
        <f t="shared" si="1"/>
        <v>1</v>
      </c>
      <c r="T7" t="b">
        <f t="shared" si="2"/>
        <v>1</v>
      </c>
      <c r="U7" t="b">
        <f t="shared" si="3"/>
        <v>1</v>
      </c>
      <c r="V7" t="b">
        <f t="shared" si="4"/>
        <v>1</v>
      </c>
      <c r="W7" t="b">
        <f t="shared" si="5"/>
        <v>1</v>
      </c>
    </row>
    <row r="8" spans="1:23" x14ac:dyDescent="0.2">
      <c r="A8" t="s">
        <v>46</v>
      </c>
      <c r="B8">
        <v>0</v>
      </c>
      <c r="C8">
        <v>0</v>
      </c>
      <c r="D8">
        <v>0</v>
      </c>
      <c r="E8">
        <v>0</v>
      </c>
      <c r="F8">
        <v>1</v>
      </c>
      <c r="J8" t="s">
        <v>46</v>
      </c>
      <c r="K8">
        <v>0</v>
      </c>
      <c r="L8">
        <v>0</v>
      </c>
      <c r="M8">
        <v>0</v>
      </c>
      <c r="N8">
        <v>0</v>
      </c>
      <c r="O8">
        <v>1</v>
      </c>
      <c r="S8" t="b">
        <f t="shared" si="1"/>
        <v>1</v>
      </c>
      <c r="T8" t="b">
        <f t="shared" si="2"/>
        <v>1</v>
      </c>
      <c r="U8" t="b">
        <f t="shared" si="3"/>
        <v>1</v>
      </c>
      <c r="V8" t="b">
        <f t="shared" si="4"/>
        <v>1</v>
      </c>
      <c r="W8" t="b">
        <f t="shared" si="5"/>
        <v>1</v>
      </c>
    </row>
    <row r="9" spans="1:23" x14ac:dyDescent="0.2">
      <c r="A9" t="s">
        <v>47</v>
      </c>
      <c r="B9">
        <v>0</v>
      </c>
      <c r="C9">
        <v>0</v>
      </c>
      <c r="D9">
        <v>0</v>
      </c>
      <c r="E9">
        <v>0</v>
      </c>
      <c r="F9">
        <v>1</v>
      </c>
      <c r="J9" t="s">
        <v>47</v>
      </c>
      <c r="K9">
        <v>0</v>
      </c>
      <c r="L9">
        <v>0</v>
      </c>
      <c r="M9">
        <v>0</v>
      </c>
      <c r="N9">
        <v>0</v>
      </c>
      <c r="O9">
        <v>1</v>
      </c>
      <c r="S9" t="b">
        <f t="shared" si="1"/>
        <v>1</v>
      </c>
      <c r="T9" t="b">
        <f t="shared" si="2"/>
        <v>1</v>
      </c>
      <c r="U9" t="b">
        <f t="shared" si="3"/>
        <v>1</v>
      </c>
      <c r="V9" t="b">
        <f t="shared" si="4"/>
        <v>1</v>
      </c>
      <c r="W9" t="b">
        <f t="shared" si="5"/>
        <v>1</v>
      </c>
    </row>
    <row r="10" spans="1:23" x14ac:dyDescent="0.2">
      <c r="A10" t="s">
        <v>48</v>
      </c>
      <c r="B10">
        <v>0</v>
      </c>
      <c r="C10">
        <v>0</v>
      </c>
      <c r="D10">
        <v>0</v>
      </c>
      <c r="E10">
        <v>1</v>
      </c>
      <c r="F10">
        <v>1</v>
      </c>
      <c r="J10" t="s">
        <v>48</v>
      </c>
      <c r="K10">
        <v>0</v>
      </c>
      <c r="L10">
        <v>0</v>
      </c>
      <c r="M10">
        <v>0</v>
      </c>
      <c r="N10">
        <v>1</v>
      </c>
      <c r="O10">
        <v>1</v>
      </c>
      <c r="S10" t="b">
        <f t="shared" si="1"/>
        <v>1</v>
      </c>
      <c r="T10" t="b">
        <f t="shared" si="2"/>
        <v>1</v>
      </c>
      <c r="U10" t="b">
        <f t="shared" si="3"/>
        <v>1</v>
      </c>
      <c r="V10" t="b">
        <f t="shared" si="4"/>
        <v>1</v>
      </c>
      <c r="W10" t="b">
        <f t="shared" si="5"/>
        <v>1</v>
      </c>
    </row>
    <row r="11" spans="1:23" x14ac:dyDescent="0.2">
      <c r="A11" t="s">
        <v>49</v>
      </c>
      <c r="B11">
        <v>0</v>
      </c>
      <c r="C11">
        <v>1</v>
      </c>
      <c r="D11">
        <v>0</v>
      </c>
      <c r="E11">
        <v>0</v>
      </c>
      <c r="F11">
        <v>1</v>
      </c>
      <c r="J11" t="s">
        <v>49</v>
      </c>
      <c r="K11">
        <v>0</v>
      </c>
      <c r="L11">
        <v>1</v>
      </c>
      <c r="M11">
        <v>0</v>
      </c>
      <c r="N11">
        <v>0</v>
      </c>
      <c r="O11">
        <v>1</v>
      </c>
      <c r="S11" t="b">
        <f t="shared" si="1"/>
        <v>1</v>
      </c>
      <c r="T11" t="b">
        <f t="shared" si="2"/>
        <v>1</v>
      </c>
      <c r="U11" t="b">
        <f t="shared" si="3"/>
        <v>1</v>
      </c>
      <c r="V11" t="b">
        <f t="shared" si="4"/>
        <v>1</v>
      </c>
      <c r="W11" t="b">
        <f t="shared" si="5"/>
        <v>1</v>
      </c>
    </row>
    <row r="12" spans="1:23" x14ac:dyDescent="0.2">
      <c r="A12" t="s">
        <v>50</v>
      </c>
      <c r="B12">
        <v>1</v>
      </c>
      <c r="C12">
        <v>2</v>
      </c>
      <c r="D12">
        <v>0</v>
      </c>
      <c r="E12">
        <v>0</v>
      </c>
      <c r="F12">
        <v>1</v>
      </c>
      <c r="J12" t="s">
        <v>50</v>
      </c>
      <c r="K12">
        <v>1</v>
      </c>
      <c r="L12">
        <v>2</v>
      </c>
      <c r="M12">
        <v>0</v>
      </c>
      <c r="N12">
        <v>0</v>
      </c>
      <c r="O12">
        <v>1</v>
      </c>
      <c r="S12" t="b">
        <f t="shared" si="1"/>
        <v>1</v>
      </c>
      <c r="T12" t="b">
        <f t="shared" si="2"/>
        <v>1</v>
      </c>
      <c r="U12" t="b">
        <f t="shared" si="3"/>
        <v>1</v>
      </c>
      <c r="V12" t="b">
        <f t="shared" si="4"/>
        <v>1</v>
      </c>
      <c r="W12" t="b">
        <f t="shared" si="5"/>
        <v>1</v>
      </c>
    </row>
    <row r="13" spans="1:23" x14ac:dyDescent="0.2">
      <c r="A13" t="s">
        <v>51</v>
      </c>
      <c r="B13">
        <v>1</v>
      </c>
      <c r="C13">
        <v>0</v>
      </c>
      <c r="D13">
        <v>1</v>
      </c>
      <c r="E13">
        <v>0</v>
      </c>
      <c r="F13">
        <v>1</v>
      </c>
      <c r="J13" t="s">
        <v>51</v>
      </c>
      <c r="K13">
        <v>1</v>
      </c>
      <c r="L13">
        <v>0</v>
      </c>
      <c r="M13">
        <v>1</v>
      </c>
      <c r="N13">
        <v>0</v>
      </c>
      <c r="O13">
        <v>1</v>
      </c>
      <c r="S13" t="b">
        <f t="shared" si="1"/>
        <v>1</v>
      </c>
      <c r="T13" t="b">
        <f t="shared" si="2"/>
        <v>1</v>
      </c>
      <c r="U13" t="b">
        <f t="shared" si="3"/>
        <v>1</v>
      </c>
      <c r="V13" t="b">
        <f t="shared" si="4"/>
        <v>1</v>
      </c>
      <c r="W13" t="b">
        <f t="shared" si="5"/>
        <v>1</v>
      </c>
    </row>
    <row r="14" spans="1:23" x14ac:dyDescent="0.2">
      <c r="A14" t="s">
        <v>52</v>
      </c>
      <c r="B14">
        <v>0</v>
      </c>
      <c r="C14">
        <v>1</v>
      </c>
      <c r="D14">
        <v>0</v>
      </c>
      <c r="E14">
        <v>0</v>
      </c>
      <c r="J14" t="s">
        <v>52</v>
      </c>
      <c r="K14">
        <v>0</v>
      </c>
      <c r="L14">
        <v>1</v>
      </c>
      <c r="M14">
        <v>0</v>
      </c>
      <c r="N14">
        <v>0</v>
      </c>
      <c r="S14" t="b">
        <f t="shared" si="1"/>
        <v>1</v>
      </c>
      <c r="T14" t="b">
        <f t="shared" si="2"/>
        <v>1</v>
      </c>
      <c r="U14" t="b">
        <f t="shared" si="3"/>
        <v>1</v>
      </c>
      <c r="V14" t="b">
        <f t="shared" si="4"/>
        <v>1</v>
      </c>
      <c r="W14" t="b">
        <f t="shared" si="5"/>
        <v>1</v>
      </c>
    </row>
    <row r="15" spans="1:23" x14ac:dyDescent="0.2">
      <c r="A15" t="s">
        <v>53</v>
      </c>
      <c r="B15">
        <v>1</v>
      </c>
      <c r="C15">
        <v>1</v>
      </c>
      <c r="D15">
        <v>1</v>
      </c>
      <c r="E15">
        <v>0</v>
      </c>
      <c r="F15">
        <v>1</v>
      </c>
      <c r="J15" t="s">
        <v>53</v>
      </c>
      <c r="K15">
        <v>1</v>
      </c>
      <c r="L15">
        <v>1</v>
      </c>
      <c r="M15">
        <v>1</v>
      </c>
      <c r="N15">
        <v>0</v>
      </c>
      <c r="O15">
        <v>1</v>
      </c>
      <c r="S15" t="b">
        <f t="shared" si="1"/>
        <v>1</v>
      </c>
      <c r="T15" t="b">
        <f t="shared" si="2"/>
        <v>1</v>
      </c>
      <c r="U15" t="b">
        <f t="shared" si="3"/>
        <v>1</v>
      </c>
      <c r="V15" t="b">
        <f t="shared" si="4"/>
        <v>1</v>
      </c>
      <c r="W15" t="b">
        <f t="shared" si="5"/>
        <v>1</v>
      </c>
    </row>
    <row r="16" spans="1:23" x14ac:dyDescent="0.2">
      <c r="A16" t="s">
        <v>54</v>
      </c>
      <c r="B16">
        <v>0</v>
      </c>
      <c r="C16">
        <v>0</v>
      </c>
      <c r="D16">
        <v>0</v>
      </c>
      <c r="E16">
        <v>1</v>
      </c>
      <c r="F16">
        <v>1</v>
      </c>
      <c r="J16" t="s">
        <v>54</v>
      </c>
      <c r="K16">
        <v>0</v>
      </c>
      <c r="L16">
        <v>0</v>
      </c>
      <c r="M16">
        <v>0</v>
      </c>
      <c r="N16">
        <v>1</v>
      </c>
      <c r="O16">
        <v>1</v>
      </c>
      <c r="S16" t="b">
        <f t="shared" si="1"/>
        <v>1</v>
      </c>
      <c r="T16" t="b">
        <f t="shared" si="2"/>
        <v>1</v>
      </c>
      <c r="U16" t="b">
        <f t="shared" si="3"/>
        <v>1</v>
      </c>
      <c r="V16" t="b">
        <f t="shared" si="4"/>
        <v>1</v>
      </c>
      <c r="W16" t="b">
        <f t="shared" si="5"/>
        <v>1</v>
      </c>
    </row>
    <row r="17" spans="1:23" x14ac:dyDescent="0.2">
      <c r="A17" t="s">
        <v>55</v>
      </c>
      <c r="B17">
        <v>1</v>
      </c>
      <c r="C17">
        <v>0</v>
      </c>
      <c r="D17">
        <v>0</v>
      </c>
      <c r="E17">
        <v>0</v>
      </c>
      <c r="F17">
        <v>1</v>
      </c>
      <c r="J17" t="s">
        <v>55</v>
      </c>
      <c r="K17">
        <v>1</v>
      </c>
      <c r="L17">
        <v>0</v>
      </c>
      <c r="M17">
        <v>0</v>
      </c>
      <c r="N17">
        <v>0</v>
      </c>
      <c r="O17">
        <v>1</v>
      </c>
      <c r="S17" t="b">
        <f t="shared" si="1"/>
        <v>1</v>
      </c>
      <c r="T17" t="b">
        <f t="shared" si="2"/>
        <v>1</v>
      </c>
      <c r="U17" t="b">
        <f t="shared" si="3"/>
        <v>1</v>
      </c>
      <c r="V17" t="b">
        <f t="shared" si="4"/>
        <v>1</v>
      </c>
      <c r="W17" t="b">
        <f t="shared" si="5"/>
        <v>1</v>
      </c>
    </row>
    <row r="18" spans="1:23" x14ac:dyDescent="0.2">
      <c r="A18" t="s">
        <v>56</v>
      </c>
      <c r="B18">
        <v>0</v>
      </c>
      <c r="C18">
        <v>1</v>
      </c>
      <c r="D18">
        <v>0</v>
      </c>
      <c r="E18">
        <v>1</v>
      </c>
      <c r="F18">
        <v>1</v>
      </c>
      <c r="J18" t="s">
        <v>56</v>
      </c>
      <c r="K18">
        <v>0</v>
      </c>
      <c r="L18">
        <v>1</v>
      </c>
      <c r="M18">
        <v>0</v>
      </c>
      <c r="N18">
        <v>1</v>
      </c>
      <c r="O18">
        <v>1</v>
      </c>
      <c r="S18" t="b">
        <f t="shared" si="1"/>
        <v>1</v>
      </c>
      <c r="T18" t="b">
        <f t="shared" si="2"/>
        <v>1</v>
      </c>
      <c r="U18" t="b">
        <f t="shared" si="3"/>
        <v>1</v>
      </c>
      <c r="V18" t="b">
        <f t="shared" si="4"/>
        <v>1</v>
      </c>
      <c r="W18" t="b">
        <f t="shared" si="5"/>
        <v>1</v>
      </c>
    </row>
    <row r="19" spans="1:23" x14ac:dyDescent="0.2">
      <c r="A19" t="s">
        <v>57</v>
      </c>
      <c r="B19">
        <v>1</v>
      </c>
      <c r="C19">
        <v>1</v>
      </c>
      <c r="D19">
        <v>0</v>
      </c>
      <c r="E19">
        <v>0</v>
      </c>
      <c r="J19" t="s">
        <v>57</v>
      </c>
      <c r="K19">
        <v>1</v>
      </c>
      <c r="L19">
        <v>1</v>
      </c>
      <c r="M19">
        <v>0</v>
      </c>
      <c r="N19">
        <v>0</v>
      </c>
      <c r="S19" t="b">
        <f t="shared" si="1"/>
        <v>1</v>
      </c>
      <c r="T19" t="b">
        <f t="shared" si="2"/>
        <v>1</v>
      </c>
      <c r="U19" t="b">
        <f t="shared" si="3"/>
        <v>1</v>
      </c>
      <c r="V19" t="b">
        <f t="shared" si="4"/>
        <v>1</v>
      </c>
      <c r="W19" t="b">
        <f t="shared" si="5"/>
        <v>1</v>
      </c>
    </row>
    <row r="20" spans="1:23" x14ac:dyDescent="0.2">
      <c r="A20" t="s">
        <v>58</v>
      </c>
      <c r="B20">
        <v>0</v>
      </c>
      <c r="C20">
        <v>1</v>
      </c>
      <c r="D20">
        <v>0</v>
      </c>
      <c r="E20">
        <v>0</v>
      </c>
      <c r="J20" t="s">
        <v>58</v>
      </c>
      <c r="K20">
        <v>0</v>
      </c>
      <c r="L20">
        <v>1</v>
      </c>
      <c r="M20">
        <v>0</v>
      </c>
      <c r="N20">
        <v>0</v>
      </c>
      <c r="S20" t="b">
        <f t="shared" si="1"/>
        <v>1</v>
      </c>
      <c r="T20" t="b">
        <f t="shared" si="2"/>
        <v>1</v>
      </c>
      <c r="U20" t="b">
        <f t="shared" si="3"/>
        <v>1</v>
      </c>
      <c r="V20" t="b">
        <f t="shared" si="4"/>
        <v>1</v>
      </c>
      <c r="W20" t="b">
        <f t="shared" si="5"/>
        <v>1</v>
      </c>
    </row>
    <row r="21" spans="1:23" x14ac:dyDescent="0.2">
      <c r="A21" t="s">
        <v>59</v>
      </c>
      <c r="B21">
        <v>0</v>
      </c>
      <c r="C21">
        <v>0</v>
      </c>
      <c r="D21">
        <v>0</v>
      </c>
      <c r="E21">
        <v>0</v>
      </c>
      <c r="J21" t="s">
        <v>59</v>
      </c>
      <c r="K21">
        <v>0</v>
      </c>
      <c r="L21">
        <v>0</v>
      </c>
      <c r="M21">
        <v>0</v>
      </c>
      <c r="N21">
        <v>0</v>
      </c>
      <c r="S21" t="b">
        <f t="shared" si="1"/>
        <v>1</v>
      </c>
      <c r="T21" t="b">
        <f t="shared" si="2"/>
        <v>1</v>
      </c>
      <c r="U21" t="b">
        <f t="shared" si="3"/>
        <v>1</v>
      </c>
      <c r="V21" t="b">
        <f t="shared" si="4"/>
        <v>1</v>
      </c>
      <c r="W21" t="b">
        <f t="shared" si="5"/>
        <v>1</v>
      </c>
    </row>
    <row r="22" spans="1:23" x14ac:dyDescent="0.2">
      <c r="A22" t="s">
        <v>60</v>
      </c>
      <c r="B22">
        <v>0</v>
      </c>
      <c r="C22">
        <v>1</v>
      </c>
      <c r="D22">
        <v>0</v>
      </c>
      <c r="E22">
        <v>0</v>
      </c>
      <c r="F22">
        <v>1</v>
      </c>
      <c r="J22" t="s">
        <v>60</v>
      </c>
      <c r="K22">
        <v>0</v>
      </c>
      <c r="L22">
        <v>1</v>
      </c>
      <c r="M22">
        <v>0</v>
      </c>
      <c r="N22">
        <v>0</v>
      </c>
      <c r="O22">
        <v>1</v>
      </c>
      <c r="S22" t="b">
        <f t="shared" si="1"/>
        <v>1</v>
      </c>
      <c r="T22" t="b">
        <f t="shared" si="2"/>
        <v>1</v>
      </c>
      <c r="U22" t="b">
        <f t="shared" si="3"/>
        <v>1</v>
      </c>
      <c r="V22" t="b">
        <f t="shared" si="4"/>
        <v>1</v>
      </c>
      <c r="W22" t="b">
        <f t="shared" si="5"/>
        <v>1</v>
      </c>
    </row>
    <row r="23" spans="1:23" x14ac:dyDescent="0.2">
      <c r="A23" t="s">
        <v>61</v>
      </c>
      <c r="B23">
        <v>1</v>
      </c>
      <c r="C23">
        <v>1</v>
      </c>
      <c r="D23">
        <v>0</v>
      </c>
      <c r="E23">
        <v>0</v>
      </c>
      <c r="F23">
        <v>1</v>
      </c>
      <c r="J23" t="s">
        <v>61</v>
      </c>
      <c r="K23">
        <v>1</v>
      </c>
      <c r="L23">
        <v>1</v>
      </c>
      <c r="M23">
        <v>0</v>
      </c>
      <c r="N23">
        <v>0</v>
      </c>
      <c r="O23">
        <v>1</v>
      </c>
      <c r="S23" t="b">
        <f t="shared" si="1"/>
        <v>1</v>
      </c>
      <c r="T23" t="b">
        <f t="shared" si="2"/>
        <v>1</v>
      </c>
      <c r="U23" t="b">
        <f t="shared" si="3"/>
        <v>1</v>
      </c>
      <c r="V23" t="b">
        <f t="shared" si="4"/>
        <v>1</v>
      </c>
      <c r="W23" t="b">
        <f t="shared" si="5"/>
        <v>1</v>
      </c>
    </row>
    <row r="24" spans="1:23" x14ac:dyDescent="0.2">
      <c r="A24" t="s">
        <v>62</v>
      </c>
      <c r="B24">
        <v>1</v>
      </c>
      <c r="C24">
        <v>0</v>
      </c>
      <c r="D24">
        <v>0</v>
      </c>
      <c r="E24">
        <v>0</v>
      </c>
      <c r="J24" t="s">
        <v>62</v>
      </c>
      <c r="K24">
        <v>1</v>
      </c>
      <c r="L24">
        <v>0</v>
      </c>
      <c r="M24">
        <v>0</v>
      </c>
      <c r="N24">
        <v>0</v>
      </c>
      <c r="S24" t="b">
        <f t="shared" si="1"/>
        <v>1</v>
      </c>
      <c r="T24" t="b">
        <f t="shared" si="2"/>
        <v>1</v>
      </c>
      <c r="U24" t="b">
        <f t="shared" si="3"/>
        <v>1</v>
      </c>
      <c r="V24" t="b">
        <f t="shared" si="4"/>
        <v>1</v>
      </c>
      <c r="W24" t="b">
        <f t="shared" si="5"/>
        <v>1</v>
      </c>
    </row>
    <row r="25" spans="1:23" x14ac:dyDescent="0.2">
      <c r="A25" t="s">
        <v>63</v>
      </c>
      <c r="B25">
        <v>1</v>
      </c>
      <c r="C25">
        <v>0</v>
      </c>
      <c r="D25">
        <v>0</v>
      </c>
      <c r="E25">
        <v>1</v>
      </c>
      <c r="F25">
        <v>1</v>
      </c>
      <c r="J25" t="s">
        <v>63</v>
      </c>
      <c r="K25">
        <v>1</v>
      </c>
      <c r="L25">
        <v>0</v>
      </c>
      <c r="M25">
        <v>0</v>
      </c>
      <c r="N25">
        <v>1</v>
      </c>
      <c r="O25">
        <v>1</v>
      </c>
      <c r="S25" t="b">
        <f t="shared" si="1"/>
        <v>1</v>
      </c>
      <c r="T25" t="b">
        <f t="shared" si="2"/>
        <v>1</v>
      </c>
      <c r="U25" t="b">
        <f t="shared" si="3"/>
        <v>1</v>
      </c>
      <c r="V25" t="b">
        <f t="shared" si="4"/>
        <v>1</v>
      </c>
      <c r="W25" t="b">
        <f t="shared" si="5"/>
        <v>1</v>
      </c>
    </row>
    <row r="26" spans="1:23" x14ac:dyDescent="0.2">
      <c r="A26" t="s">
        <v>64</v>
      </c>
      <c r="B26">
        <v>0</v>
      </c>
      <c r="C26">
        <v>1</v>
      </c>
      <c r="D26">
        <v>1</v>
      </c>
      <c r="E26">
        <v>0</v>
      </c>
      <c r="F26">
        <v>1</v>
      </c>
      <c r="J26" t="s">
        <v>64</v>
      </c>
      <c r="K26">
        <v>0</v>
      </c>
      <c r="L26">
        <v>1</v>
      </c>
      <c r="M26">
        <v>1</v>
      </c>
      <c r="N26">
        <v>0</v>
      </c>
      <c r="O26">
        <v>1</v>
      </c>
      <c r="S26" t="b">
        <f t="shared" si="1"/>
        <v>1</v>
      </c>
      <c r="T26" t="b">
        <f t="shared" si="2"/>
        <v>1</v>
      </c>
      <c r="U26" t="b">
        <f t="shared" si="3"/>
        <v>1</v>
      </c>
      <c r="V26" t="b">
        <f t="shared" si="4"/>
        <v>1</v>
      </c>
      <c r="W26" t="b">
        <f t="shared" si="5"/>
        <v>1</v>
      </c>
    </row>
    <row r="27" spans="1:23" x14ac:dyDescent="0.2">
      <c r="A27" t="s">
        <v>66</v>
      </c>
      <c r="B27">
        <v>1</v>
      </c>
      <c r="C27">
        <v>0</v>
      </c>
      <c r="D27">
        <v>0</v>
      </c>
      <c r="E27">
        <v>2</v>
      </c>
      <c r="J27" t="s">
        <v>66</v>
      </c>
      <c r="K27">
        <v>1</v>
      </c>
      <c r="L27">
        <v>0</v>
      </c>
      <c r="M27">
        <v>0</v>
      </c>
      <c r="N27">
        <v>2</v>
      </c>
      <c r="S27" t="b">
        <f t="shared" si="1"/>
        <v>1</v>
      </c>
      <c r="T27" t="b">
        <f t="shared" si="2"/>
        <v>1</v>
      </c>
      <c r="U27" t="b">
        <f t="shared" si="3"/>
        <v>1</v>
      </c>
      <c r="V27" t="b">
        <f t="shared" si="4"/>
        <v>1</v>
      </c>
      <c r="W27" t="b">
        <f t="shared" si="5"/>
        <v>1</v>
      </c>
    </row>
    <row r="28" spans="1:23" x14ac:dyDescent="0.2">
      <c r="A28" t="s">
        <v>67</v>
      </c>
      <c r="B28">
        <v>0</v>
      </c>
      <c r="C28">
        <v>1</v>
      </c>
      <c r="D28">
        <v>1</v>
      </c>
      <c r="E28">
        <v>0</v>
      </c>
      <c r="F28">
        <v>1</v>
      </c>
      <c r="J28" t="s">
        <v>67</v>
      </c>
      <c r="K28">
        <v>0</v>
      </c>
      <c r="L28">
        <v>1</v>
      </c>
      <c r="M28">
        <v>1</v>
      </c>
      <c r="N28">
        <v>0</v>
      </c>
      <c r="O28">
        <v>1</v>
      </c>
      <c r="S28" t="b">
        <f t="shared" si="1"/>
        <v>1</v>
      </c>
      <c r="T28" t="b">
        <f t="shared" si="2"/>
        <v>1</v>
      </c>
      <c r="U28" t="b">
        <f t="shared" si="3"/>
        <v>1</v>
      </c>
      <c r="V28" t="b">
        <f t="shared" si="4"/>
        <v>1</v>
      </c>
      <c r="W28" t="b">
        <f t="shared" si="5"/>
        <v>1</v>
      </c>
    </row>
    <row r="29" spans="1:23" x14ac:dyDescent="0.2">
      <c r="A29" t="s">
        <v>68</v>
      </c>
      <c r="B29">
        <v>1</v>
      </c>
      <c r="C29">
        <v>0</v>
      </c>
      <c r="D29">
        <v>1</v>
      </c>
      <c r="E29">
        <v>0</v>
      </c>
      <c r="J29" t="s">
        <v>68</v>
      </c>
      <c r="K29">
        <v>1</v>
      </c>
      <c r="L29">
        <v>0</v>
      </c>
      <c r="M29">
        <v>1</v>
      </c>
      <c r="N29">
        <v>0</v>
      </c>
      <c r="S29" t="b">
        <f t="shared" si="1"/>
        <v>1</v>
      </c>
      <c r="T29" t="b">
        <f t="shared" si="2"/>
        <v>1</v>
      </c>
      <c r="U29" t="b">
        <f t="shared" si="3"/>
        <v>1</v>
      </c>
      <c r="V29" t="b">
        <f t="shared" si="4"/>
        <v>1</v>
      </c>
      <c r="W29" t="b">
        <f t="shared" si="5"/>
        <v>1</v>
      </c>
    </row>
    <row r="30" spans="1:23" x14ac:dyDescent="0.2">
      <c r="A30" t="s">
        <v>69</v>
      </c>
      <c r="B30">
        <v>0</v>
      </c>
      <c r="C30">
        <v>0</v>
      </c>
      <c r="D30">
        <v>0</v>
      </c>
      <c r="E30">
        <v>1</v>
      </c>
      <c r="J30" t="s">
        <v>69</v>
      </c>
      <c r="K30">
        <v>0</v>
      </c>
      <c r="L30">
        <v>0</v>
      </c>
      <c r="M30">
        <v>0</v>
      </c>
      <c r="N30">
        <v>1</v>
      </c>
      <c r="S30" t="b">
        <f t="shared" si="1"/>
        <v>1</v>
      </c>
      <c r="T30" t="b">
        <f t="shared" si="2"/>
        <v>1</v>
      </c>
      <c r="U30" t="b">
        <f t="shared" si="3"/>
        <v>1</v>
      </c>
      <c r="V30" t="b">
        <f t="shared" si="4"/>
        <v>1</v>
      </c>
      <c r="W30" t="b">
        <f t="shared" si="5"/>
        <v>1</v>
      </c>
    </row>
    <row r="31" spans="1:23" x14ac:dyDescent="0.2">
      <c r="A31" t="s">
        <v>70</v>
      </c>
      <c r="B31">
        <v>0</v>
      </c>
      <c r="C31">
        <v>0</v>
      </c>
      <c r="D31">
        <v>0</v>
      </c>
      <c r="E31">
        <v>0</v>
      </c>
      <c r="J31" t="s">
        <v>70</v>
      </c>
      <c r="K31">
        <v>0</v>
      </c>
      <c r="L31">
        <v>0</v>
      </c>
      <c r="M31">
        <v>0</v>
      </c>
      <c r="N31">
        <v>0</v>
      </c>
      <c r="S31" t="b">
        <f t="shared" si="1"/>
        <v>1</v>
      </c>
      <c r="T31" t="b">
        <f t="shared" si="2"/>
        <v>1</v>
      </c>
      <c r="U31" t="b">
        <f t="shared" si="3"/>
        <v>1</v>
      </c>
      <c r="V31" t="b">
        <f t="shared" si="4"/>
        <v>1</v>
      </c>
      <c r="W31" t="b">
        <f t="shared" si="5"/>
        <v>1</v>
      </c>
    </row>
    <row r="32" spans="1:23" x14ac:dyDescent="0.2">
      <c r="A32" t="s">
        <v>71</v>
      </c>
      <c r="B32">
        <v>0</v>
      </c>
      <c r="C32">
        <v>0</v>
      </c>
      <c r="D32">
        <v>0</v>
      </c>
      <c r="E32">
        <v>0</v>
      </c>
      <c r="F32">
        <v>1</v>
      </c>
      <c r="J32" t="s">
        <v>71</v>
      </c>
      <c r="K32">
        <v>0</v>
      </c>
      <c r="L32">
        <v>0</v>
      </c>
      <c r="M32">
        <v>0</v>
      </c>
      <c r="N32">
        <v>0</v>
      </c>
      <c r="O32">
        <v>1</v>
      </c>
      <c r="S32" t="b">
        <f t="shared" si="1"/>
        <v>1</v>
      </c>
      <c r="T32" t="b">
        <f t="shared" si="2"/>
        <v>1</v>
      </c>
      <c r="U32" t="b">
        <f t="shared" si="3"/>
        <v>1</v>
      </c>
      <c r="V32" t="b">
        <f t="shared" si="4"/>
        <v>1</v>
      </c>
      <c r="W32" t="b">
        <f t="shared" si="5"/>
        <v>1</v>
      </c>
    </row>
    <row r="33" spans="1:23" x14ac:dyDescent="0.2">
      <c r="A33" t="s">
        <v>72</v>
      </c>
      <c r="B33">
        <v>1</v>
      </c>
      <c r="C33">
        <v>0</v>
      </c>
      <c r="D33">
        <v>0</v>
      </c>
      <c r="E33">
        <v>0</v>
      </c>
      <c r="J33" t="s">
        <v>72</v>
      </c>
      <c r="K33">
        <v>1</v>
      </c>
      <c r="L33">
        <v>0</v>
      </c>
      <c r="M33">
        <v>0</v>
      </c>
      <c r="N33">
        <v>0</v>
      </c>
      <c r="S33" t="b">
        <f t="shared" si="1"/>
        <v>1</v>
      </c>
      <c r="T33" t="b">
        <f t="shared" si="2"/>
        <v>1</v>
      </c>
      <c r="U33" t="b">
        <f t="shared" si="3"/>
        <v>1</v>
      </c>
      <c r="V33" t="b">
        <f t="shared" si="4"/>
        <v>1</v>
      </c>
      <c r="W33" t="b">
        <f t="shared" si="5"/>
        <v>1</v>
      </c>
    </row>
    <row r="34" spans="1:23" x14ac:dyDescent="0.2">
      <c r="A34" t="s">
        <v>73</v>
      </c>
      <c r="B34">
        <v>2</v>
      </c>
      <c r="C34">
        <v>0</v>
      </c>
      <c r="D34">
        <v>0</v>
      </c>
      <c r="E34">
        <v>0</v>
      </c>
      <c r="F34">
        <v>1</v>
      </c>
      <c r="J34" t="s">
        <v>73</v>
      </c>
      <c r="K34">
        <v>2</v>
      </c>
      <c r="L34">
        <v>0</v>
      </c>
      <c r="M34">
        <v>0</v>
      </c>
      <c r="N34">
        <v>0</v>
      </c>
      <c r="O34">
        <v>1</v>
      </c>
      <c r="S34" t="b">
        <f t="shared" si="1"/>
        <v>1</v>
      </c>
      <c r="T34" t="b">
        <f t="shared" si="2"/>
        <v>1</v>
      </c>
      <c r="U34" t="b">
        <f t="shared" si="3"/>
        <v>1</v>
      </c>
      <c r="V34" t="b">
        <f t="shared" si="4"/>
        <v>1</v>
      </c>
      <c r="W34" t="b">
        <f t="shared" si="5"/>
        <v>1</v>
      </c>
    </row>
    <row r="35" spans="1:23" x14ac:dyDescent="0.2">
      <c r="A35" t="s">
        <v>74</v>
      </c>
      <c r="B35">
        <v>0</v>
      </c>
      <c r="C35">
        <v>0</v>
      </c>
      <c r="D35">
        <v>0</v>
      </c>
      <c r="E35">
        <v>0</v>
      </c>
      <c r="F35">
        <v>1</v>
      </c>
      <c r="J35" t="s">
        <v>74</v>
      </c>
      <c r="K35">
        <v>0</v>
      </c>
      <c r="L35">
        <v>0</v>
      </c>
      <c r="M35">
        <v>0</v>
      </c>
      <c r="N35">
        <v>0</v>
      </c>
      <c r="O35">
        <v>1</v>
      </c>
      <c r="S35" t="b">
        <f t="shared" si="1"/>
        <v>1</v>
      </c>
      <c r="T35" t="b">
        <f t="shared" si="2"/>
        <v>1</v>
      </c>
      <c r="U35" t="b">
        <f t="shared" si="3"/>
        <v>1</v>
      </c>
      <c r="V35" t="b">
        <f t="shared" si="4"/>
        <v>1</v>
      </c>
      <c r="W35" t="b">
        <f t="shared" si="5"/>
        <v>1</v>
      </c>
    </row>
    <row r="36" spans="1:23" x14ac:dyDescent="0.2">
      <c r="A36" t="s">
        <v>75</v>
      </c>
      <c r="B36">
        <v>1</v>
      </c>
      <c r="C36">
        <v>0</v>
      </c>
      <c r="D36">
        <v>1</v>
      </c>
      <c r="E36">
        <v>0</v>
      </c>
      <c r="F36">
        <v>1</v>
      </c>
      <c r="J36" t="s">
        <v>75</v>
      </c>
      <c r="K36">
        <v>1</v>
      </c>
      <c r="L36">
        <v>0</v>
      </c>
      <c r="M36">
        <v>1</v>
      </c>
      <c r="N36">
        <v>0</v>
      </c>
      <c r="O36">
        <v>1</v>
      </c>
      <c r="S36" t="b">
        <f t="shared" si="1"/>
        <v>1</v>
      </c>
      <c r="T36" t="b">
        <f t="shared" si="2"/>
        <v>1</v>
      </c>
      <c r="U36" t="b">
        <f t="shared" si="3"/>
        <v>1</v>
      </c>
      <c r="V36" t="b">
        <f t="shared" si="4"/>
        <v>1</v>
      </c>
      <c r="W36" t="b">
        <f t="shared" si="5"/>
        <v>1</v>
      </c>
    </row>
    <row r="37" spans="1:23" x14ac:dyDescent="0.2">
      <c r="A37" t="s">
        <v>76</v>
      </c>
      <c r="B37">
        <v>0</v>
      </c>
      <c r="C37">
        <v>1</v>
      </c>
      <c r="D37">
        <v>0</v>
      </c>
      <c r="E37">
        <v>1</v>
      </c>
      <c r="J37" t="s">
        <v>76</v>
      </c>
      <c r="K37">
        <v>0</v>
      </c>
      <c r="L37">
        <v>1</v>
      </c>
      <c r="M37">
        <v>0</v>
      </c>
      <c r="N37">
        <v>1</v>
      </c>
      <c r="S37" t="b">
        <f t="shared" si="1"/>
        <v>1</v>
      </c>
      <c r="T37" t="b">
        <f t="shared" si="2"/>
        <v>1</v>
      </c>
      <c r="U37" t="b">
        <f t="shared" si="3"/>
        <v>1</v>
      </c>
      <c r="V37" t="b">
        <f t="shared" si="4"/>
        <v>1</v>
      </c>
      <c r="W37" t="b">
        <f t="shared" si="5"/>
        <v>1</v>
      </c>
    </row>
    <row r="38" spans="1:23" x14ac:dyDescent="0.2">
      <c r="A38" t="s">
        <v>77</v>
      </c>
      <c r="B38">
        <v>1</v>
      </c>
      <c r="C38">
        <v>0</v>
      </c>
      <c r="D38">
        <v>0</v>
      </c>
      <c r="E38">
        <v>0</v>
      </c>
      <c r="J38" t="s">
        <v>77</v>
      </c>
      <c r="K38">
        <v>1</v>
      </c>
      <c r="L38">
        <v>0</v>
      </c>
      <c r="M38">
        <v>0</v>
      </c>
      <c r="N38">
        <v>0</v>
      </c>
      <c r="S38" t="b">
        <f t="shared" si="1"/>
        <v>1</v>
      </c>
      <c r="T38" t="b">
        <f t="shared" si="2"/>
        <v>1</v>
      </c>
      <c r="U38" t="b">
        <f t="shared" si="3"/>
        <v>1</v>
      </c>
      <c r="V38" t="b">
        <f t="shared" si="4"/>
        <v>1</v>
      </c>
      <c r="W38" t="b">
        <f t="shared" si="5"/>
        <v>1</v>
      </c>
    </row>
    <row r="39" spans="1:23" x14ac:dyDescent="0.2">
      <c r="A39" t="s">
        <v>209</v>
      </c>
      <c r="B39">
        <v>1</v>
      </c>
      <c r="C39">
        <v>0</v>
      </c>
      <c r="D39">
        <v>0</v>
      </c>
      <c r="E39">
        <v>0</v>
      </c>
      <c r="J39" t="s">
        <v>209</v>
      </c>
      <c r="K39">
        <v>1</v>
      </c>
      <c r="L39">
        <v>0</v>
      </c>
      <c r="M39">
        <v>0</v>
      </c>
      <c r="N39">
        <v>0</v>
      </c>
      <c r="S39" t="b">
        <f t="shared" si="1"/>
        <v>1</v>
      </c>
      <c r="T39" t="b">
        <f t="shared" si="2"/>
        <v>1</v>
      </c>
      <c r="U39" t="b">
        <f t="shared" si="3"/>
        <v>1</v>
      </c>
      <c r="V39" t="b">
        <f t="shared" si="4"/>
        <v>1</v>
      </c>
      <c r="W39" t="b">
        <f t="shared" si="5"/>
        <v>1</v>
      </c>
    </row>
    <row r="40" spans="1:23" x14ac:dyDescent="0.2">
      <c r="A40" t="s">
        <v>78</v>
      </c>
      <c r="B40">
        <v>1</v>
      </c>
      <c r="C40">
        <v>0</v>
      </c>
      <c r="D40">
        <v>1</v>
      </c>
      <c r="E40">
        <v>1</v>
      </c>
      <c r="J40" t="s">
        <v>78</v>
      </c>
      <c r="K40">
        <v>1</v>
      </c>
      <c r="L40">
        <v>0</v>
      </c>
      <c r="M40">
        <v>1</v>
      </c>
      <c r="N40">
        <v>1</v>
      </c>
      <c r="S40" t="b">
        <f t="shared" si="1"/>
        <v>1</v>
      </c>
      <c r="T40" t="b">
        <f t="shared" si="2"/>
        <v>1</v>
      </c>
      <c r="U40" t="b">
        <f t="shared" si="3"/>
        <v>1</v>
      </c>
      <c r="V40" t="b">
        <f t="shared" si="4"/>
        <v>1</v>
      </c>
      <c r="W40" t="b">
        <f t="shared" si="5"/>
        <v>1</v>
      </c>
    </row>
    <row r="41" spans="1:23" x14ac:dyDescent="0.2">
      <c r="A41" t="s">
        <v>79</v>
      </c>
      <c r="B41">
        <v>0</v>
      </c>
      <c r="C41">
        <v>0</v>
      </c>
      <c r="D41">
        <v>0</v>
      </c>
      <c r="E41">
        <v>0</v>
      </c>
      <c r="J41" t="s">
        <v>79</v>
      </c>
      <c r="K41">
        <v>0</v>
      </c>
      <c r="L41">
        <v>0</v>
      </c>
      <c r="M41">
        <v>0</v>
      </c>
      <c r="N41">
        <v>0</v>
      </c>
      <c r="S41" t="b">
        <f t="shared" si="1"/>
        <v>1</v>
      </c>
      <c r="T41" t="b">
        <f t="shared" si="2"/>
        <v>1</v>
      </c>
      <c r="U41" t="b">
        <f t="shared" si="3"/>
        <v>1</v>
      </c>
      <c r="V41" t="b">
        <f t="shared" si="4"/>
        <v>1</v>
      </c>
      <c r="W41" t="b">
        <f t="shared" si="5"/>
        <v>1</v>
      </c>
    </row>
    <row r="42" spans="1:23" x14ac:dyDescent="0.2">
      <c r="A42" t="s">
        <v>80</v>
      </c>
      <c r="B42">
        <v>0</v>
      </c>
      <c r="C42">
        <v>0</v>
      </c>
      <c r="D42">
        <v>0</v>
      </c>
      <c r="E42">
        <v>0</v>
      </c>
      <c r="J42" t="s">
        <v>80</v>
      </c>
      <c r="K42">
        <v>0</v>
      </c>
      <c r="L42">
        <v>0</v>
      </c>
      <c r="M42">
        <v>0</v>
      </c>
      <c r="N42">
        <v>0</v>
      </c>
      <c r="S42" t="b">
        <f t="shared" si="1"/>
        <v>1</v>
      </c>
      <c r="T42" t="b">
        <f t="shared" si="2"/>
        <v>1</v>
      </c>
      <c r="U42" t="b">
        <f t="shared" si="3"/>
        <v>1</v>
      </c>
      <c r="V42" t="b">
        <f t="shared" si="4"/>
        <v>1</v>
      </c>
      <c r="W42" t="b">
        <f t="shared" si="5"/>
        <v>1</v>
      </c>
    </row>
    <row r="43" spans="1:23" x14ac:dyDescent="0.2">
      <c r="A43" t="s">
        <v>81</v>
      </c>
      <c r="B43">
        <v>0</v>
      </c>
      <c r="C43">
        <v>0</v>
      </c>
      <c r="D43">
        <v>0</v>
      </c>
      <c r="E43">
        <v>1</v>
      </c>
      <c r="J43" t="s">
        <v>81</v>
      </c>
      <c r="K43">
        <v>0</v>
      </c>
      <c r="L43">
        <v>0</v>
      </c>
      <c r="M43">
        <v>0</v>
      </c>
      <c r="N43">
        <v>1</v>
      </c>
      <c r="S43" t="b">
        <f t="shared" si="1"/>
        <v>1</v>
      </c>
      <c r="T43" t="b">
        <f t="shared" si="2"/>
        <v>1</v>
      </c>
      <c r="U43" t="b">
        <f t="shared" si="3"/>
        <v>1</v>
      </c>
      <c r="V43" t="b">
        <f t="shared" si="4"/>
        <v>1</v>
      </c>
      <c r="W43" t="b">
        <f t="shared" si="5"/>
        <v>1</v>
      </c>
    </row>
    <row r="44" spans="1:23" x14ac:dyDescent="0.2">
      <c r="A44" t="s">
        <v>82</v>
      </c>
      <c r="B44">
        <v>2</v>
      </c>
      <c r="C44">
        <v>0</v>
      </c>
      <c r="D44">
        <v>0</v>
      </c>
      <c r="E44">
        <v>1</v>
      </c>
      <c r="F44">
        <v>1</v>
      </c>
      <c r="J44" t="s">
        <v>82</v>
      </c>
      <c r="K44">
        <v>2</v>
      </c>
      <c r="L44">
        <v>0</v>
      </c>
      <c r="M44">
        <v>0</v>
      </c>
      <c r="N44">
        <v>1</v>
      </c>
      <c r="O44">
        <v>1</v>
      </c>
      <c r="S44" t="b">
        <f t="shared" si="1"/>
        <v>1</v>
      </c>
      <c r="T44" t="b">
        <f t="shared" si="2"/>
        <v>1</v>
      </c>
      <c r="U44" t="b">
        <f t="shared" si="3"/>
        <v>1</v>
      </c>
      <c r="V44" t="b">
        <f t="shared" si="4"/>
        <v>1</v>
      </c>
      <c r="W44" t="b">
        <f t="shared" si="5"/>
        <v>1</v>
      </c>
    </row>
    <row r="45" spans="1:23" x14ac:dyDescent="0.2">
      <c r="A45" t="s">
        <v>83</v>
      </c>
      <c r="B45">
        <v>1</v>
      </c>
      <c r="C45">
        <v>1</v>
      </c>
      <c r="D45">
        <v>0</v>
      </c>
      <c r="E45">
        <v>1</v>
      </c>
      <c r="F45">
        <v>1</v>
      </c>
      <c r="J45" t="s">
        <v>83</v>
      </c>
      <c r="K45">
        <v>1</v>
      </c>
      <c r="L45">
        <v>1</v>
      </c>
      <c r="M45">
        <v>0</v>
      </c>
      <c r="N45">
        <v>1</v>
      </c>
      <c r="O45">
        <v>1</v>
      </c>
      <c r="S45" t="b">
        <f t="shared" si="1"/>
        <v>1</v>
      </c>
      <c r="T45" t="b">
        <f t="shared" si="2"/>
        <v>1</v>
      </c>
      <c r="U45" t="b">
        <f t="shared" si="3"/>
        <v>1</v>
      </c>
      <c r="V45" t="b">
        <f t="shared" si="4"/>
        <v>1</v>
      </c>
      <c r="W45" t="b">
        <f t="shared" si="5"/>
        <v>1</v>
      </c>
    </row>
    <row r="46" spans="1:23" x14ac:dyDescent="0.2">
      <c r="A46" t="s">
        <v>84</v>
      </c>
      <c r="B46">
        <v>1</v>
      </c>
      <c r="C46">
        <v>0</v>
      </c>
      <c r="D46">
        <v>0</v>
      </c>
      <c r="E46">
        <v>1</v>
      </c>
      <c r="F46">
        <v>1</v>
      </c>
      <c r="J46" t="s">
        <v>84</v>
      </c>
      <c r="K46">
        <v>1</v>
      </c>
      <c r="L46">
        <v>0</v>
      </c>
      <c r="M46">
        <v>0</v>
      </c>
      <c r="N46">
        <v>1</v>
      </c>
      <c r="O46">
        <v>1</v>
      </c>
      <c r="S46" t="b">
        <f t="shared" si="1"/>
        <v>1</v>
      </c>
      <c r="T46" t="b">
        <f t="shared" si="2"/>
        <v>1</v>
      </c>
      <c r="U46" t="b">
        <f t="shared" si="3"/>
        <v>1</v>
      </c>
      <c r="V46" t="b">
        <f t="shared" si="4"/>
        <v>1</v>
      </c>
      <c r="W46" t="b">
        <f t="shared" si="5"/>
        <v>1</v>
      </c>
    </row>
    <row r="47" spans="1:23" x14ac:dyDescent="0.2">
      <c r="A47" t="s">
        <v>85</v>
      </c>
      <c r="B47">
        <v>0</v>
      </c>
      <c r="C47">
        <v>1</v>
      </c>
      <c r="D47">
        <v>0</v>
      </c>
      <c r="E47">
        <v>0</v>
      </c>
      <c r="F47">
        <v>1</v>
      </c>
      <c r="J47" t="s">
        <v>85</v>
      </c>
      <c r="K47">
        <v>0</v>
      </c>
      <c r="L47">
        <v>1</v>
      </c>
      <c r="M47">
        <v>0</v>
      </c>
      <c r="N47">
        <v>0</v>
      </c>
      <c r="O47">
        <v>1</v>
      </c>
      <c r="S47" t="b">
        <f t="shared" si="1"/>
        <v>1</v>
      </c>
      <c r="T47" t="b">
        <f t="shared" si="2"/>
        <v>1</v>
      </c>
      <c r="U47" t="b">
        <f t="shared" si="3"/>
        <v>1</v>
      </c>
      <c r="V47" t="b">
        <f t="shared" si="4"/>
        <v>1</v>
      </c>
      <c r="W47" t="b">
        <f t="shared" si="5"/>
        <v>1</v>
      </c>
    </row>
    <row r="48" spans="1:23" x14ac:dyDescent="0.2">
      <c r="A48" t="s">
        <v>86</v>
      </c>
      <c r="B48">
        <v>1</v>
      </c>
      <c r="C48">
        <v>0</v>
      </c>
      <c r="D48">
        <v>0</v>
      </c>
      <c r="E48">
        <v>0</v>
      </c>
      <c r="F48">
        <v>1</v>
      </c>
      <c r="J48" t="s">
        <v>86</v>
      </c>
      <c r="K48">
        <v>1</v>
      </c>
      <c r="L48">
        <v>0</v>
      </c>
      <c r="M48">
        <v>0</v>
      </c>
      <c r="N48">
        <v>0</v>
      </c>
      <c r="O48">
        <v>1</v>
      </c>
      <c r="S48" t="b">
        <f t="shared" si="1"/>
        <v>1</v>
      </c>
      <c r="T48" t="b">
        <f t="shared" si="2"/>
        <v>1</v>
      </c>
      <c r="U48" t="b">
        <f t="shared" si="3"/>
        <v>1</v>
      </c>
      <c r="V48" t="b">
        <f t="shared" si="4"/>
        <v>1</v>
      </c>
      <c r="W48" t="b">
        <f t="shared" si="5"/>
        <v>1</v>
      </c>
    </row>
    <row r="49" spans="1:23" x14ac:dyDescent="0.2">
      <c r="A49" t="s">
        <v>87</v>
      </c>
      <c r="B49">
        <v>0</v>
      </c>
      <c r="C49">
        <v>0</v>
      </c>
      <c r="D49">
        <v>0</v>
      </c>
      <c r="E49">
        <v>0</v>
      </c>
      <c r="J49" t="s">
        <v>87</v>
      </c>
      <c r="K49">
        <v>0</v>
      </c>
      <c r="L49">
        <v>0</v>
      </c>
      <c r="M49">
        <v>0</v>
      </c>
      <c r="N49">
        <v>0</v>
      </c>
      <c r="S49" t="b">
        <f t="shared" si="1"/>
        <v>1</v>
      </c>
      <c r="T49" t="b">
        <f t="shared" si="2"/>
        <v>1</v>
      </c>
      <c r="U49" t="b">
        <f t="shared" si="3"/>
        <v>1</v>
      </c>
      <c r="V49" t="b">
        <f t="shared" si="4"/>
        <v>1</v>
      </c>
      <c r="W49" t="b">
        <f t="shared" si="5"/>
        <v>1</v>
      </c>
    </row>
    <row r="50" spans="1:23" x14ac:dyDescent="0.2">
      <c r="A50" t="s">
        <v>88</v>
      </c>
      <c r="B50">
        <v>0</v>
      </c>
      <c r="C50">
        <v>0</v>
      </c>
      <c r="D50">
        <v>0</v>
      </c>
      <c r="E50">
        <v>0</v>
      </c>
      <c r="J50" t="s">
        <v>88</v>
      </c>
      <c r="K50">
        <v>0</v>
      </c>
      <c r="L50">
        <v>0</v>
      </c>
      <c r="M50">
        <v>0</v>
      </c>
      <c r="N50">
        <v>0</v>
      </c>
      <c r="S50" t="b">
        <f t="shared" si="1"/>
        <v>1</v>
      </c>
      <c r="T50" t="b">
        <f t="shared" si="2"/>
        <v>1</v>
      </c>
      <c r="U50" t="b">
        <f t="shared" si="3"/>
        <v>1</v>
      </c>
      <c r="V50" t="b">
        <f t="shared" si="4"/>
        <v>1</v>
      </c>
      <c r="W50" t="b">
        <f t="shared" si="5"/>
        <v>1</v>
      </c>
    </row>
    <row r="51" spans="1:23" x14ac:dyDescent="0.2">
      <c r="A51" t="s">
        <v>89</v>
      </c>
      <c r="B51">
        <v>1</v>
      </c>
      <c r="C51">
        <v>0</v>
      </c>
      <c r="D51">
        <v>0</v>
      </c>
      <c r="E51">
        <v>0</v>
      </c>
      <c r="F51">
        <v>1</v>
      </c>
      <c r="J51" t="s">
        <v>89</v>
      </c>
      <c r="K51">
        <v>1</v>
      </c>
      <c r="L51">
        <v>0</v>
      </c>
      <c r="M51">
        <v>0</v>
      </c>
      <c r="N51">
        <v>0</v>
      </c>
      <c r="O51">
        <v>1</v>
      </c>
      <c r="S51" t="b">
        <f t="shared" si="1"/>
        <v>1</v>
      </c>
      <c r="T51" t="b">
        <f t="shared" si="2"/>
        <v>1</v>
      </c>
      <c r="U51" t="b">
        <f t="shared" si="3"/>
        <v>1</v>
      </c>
      <c r="V51" t="b">
        <f t="shared" si="4"/>
        <v>1</v>
      </c>
      <c r="W51" t="b">
        <f t="shared" si="5"/>
        <v>1</v>
      </c>
    </row>
    <row r="52" spans="1:23" x14ac:dyDescent="0.2">
      <c r="A52" t="s">
        <v>90</v>
      </c>
      <c r="B52">
        <v>0</v>
      </c>
      <c r="C52">
        <v>0</v>
      </c>
      <c r="D52">
        <v>0</v>
      </c>
      <c r="E52">
        <v>0</v>
      </c>
      <c r="F52">
        <v>1</v>
      </c>
      <c r="J52" t="s">
        <v>90</v>
      </c>
      <c r="K52">
        <v>0</v>
      </c>
      <c r="L52">
        <v>0</v>
      </c>
      <c r="M52">
        <v>0</v>
      </c>
      <c r="N52">
        <v>0</v>
      </c>
      <c r="O52">
        <v>1</v>
      </c>
      <c r="S52" t="b">
        <f t="shared" si="1"/>
        <v>1</v>
      </c>
      <c r="T52" t="b">
        <f t="shared" si="2"/>
        <v>1</v>
      </c>
      <c r="U52" t="b">
        <f t="shared" si="3"/>
        <v>1</v>
      </c>
      <c r="V52" t="b">
        <f t="shared" si="4"/>
        <v>1</v>
      </c>
      <c r="W52" t="b">
        <f t="shared" si="5"/>
        <v>1</v>
      </c>
    </row>
    <row r="53" spans="1:23" x14ac:dyDescent="0.2">
      <c r="A53" t="s">
        <v>91</v>
      </c>
      <c r="B53">
        <v>1</v>
      </c>
      <c r="C53">
        <v>1</v>
      </c>
      <c r="D53">
        <v>1</v>
      </c>
      <c r="E53">
        <v>1</v>
      </c>
      <c r="F53">
        <v>1</v>
      </c>
      <c r="J53" t="s">
        <v>91</v>
      </c>
      <c r="K53">
        <v>1</v>
      </c>
      <c r="L53">
        <v>1</v>
      </c>
      <c r="M53">
        <v>1</v>
      </c>
      <c r="N53">
        <v>1</v>
      </c>
      <c r="O53">
        <v>1</v>
      </c>
      <c r="S53" t="b">
        <f t="shared" si="1"/>
        <v>1</v>
      </c>
      <c r="T53" t="b">
        <f t="shared" si="2"/>
        <v>1</v>
      </c>
      <c r="U53" t="b">
        <f t="shared" si="3"/>
        <v>1</v>
      </c>
      <c r="V53" t="b">
        <f t="shared" si="4"/>
        <v>1</v>
      </c>
      <c r="W53" t="b">
        <f t="shared" si="5"/>
        <v>1</v>
      </c>
    </row>
    <row r="54" spans="1:23" x14ac:dyDescent="0.2">
      <c r="A54" t="s">
        <v>92</v>
      </c>
      <c r="B54">
        <v>1</v>
      </c>
      <c r="C54">
        <v>1</v>
      </c>
      <c r="D54">
        <v>0</v>
      </c>
      <c r="E54">
        <v>0</v>
      </c>
      <c r="J54" t="s">
        <v>92</v>
      </c>
      <c r="K54">
        <v>1</v>
      </c>
      <c r="L54">
        <v>1</v>
      </c>
      <c r="M54">
        <v>0</v>
      </c>
      <c r="N54">
        <v>0</v>
      </c>
      <c r="S54" t="b">
        <f t="shared" si="1"/>
        <v>1</v>
      </c>
      <c r="T54" t="b">
        <f t="shared" si="2"/>
        <v>1</v>
      </c>
      <c r="U54" t="b">
        <f t="shared" si="3"/>
        <v>1</v>
      </c>
      <c r="V54" t="b">
        <f t="shared" si="4"/>
        <v>1</v>
      </c>
      <c r="W54" t="b">
        <f t="shared" si="5"/>
        <v>1</v>
      </c>
    </row>
    <row r="55" spans="1:23" x14ac:dyDescent="0.2">
      <c r="A55" t="s">
        <v>93</v>
      </c>
      <c r="B55">
        <v>0</v>
      </c>
      <c r="C55">
        <v>0</v>
      </c>
      <c r="D55">
        <v>0</v>
      </c>
      <c r="E55">
        <v>1</v>
      </c>
      <c r="J55" t="s">
        <v>93</v>
      </c>
      <c r="K55">
        <v>0</v>
      </c>
      <c r="L55">
        <v>0</v>
      </c>
      <c r="M55">
        <v>0</v>
      </c>
      <c r="N55">
        <v>1</v>
      </c>
      <c r="S55" t="b">
        <f t="shared" si="1"/>
        <v>1</v>
      </c>
      <c r="T55" t="b">
        <f t="shared" si="2"/>
        <v>1</v>
      </c>
      <c r="U55" t="b">
        <f t="shared" si="3"/>
        <v>1</v>
      </c>
      <c r="V55" t="b">
        <f t="shared" si="4"/>
        <v>1</v>
      </c>
      <c r="W55" t="b">
        <f t="shared" si="5"/>
        <v>1</v>
      </c>
    </row>
    <row r="56" spans="1:23" x14ac:dyDescent="0.2">
      <c r="A56" t="s">
        <v>190</v>
      </c>
      <c r="B56">
        <v>1</v>
      </c>
      <c r="C56">
        <v>0</v>
      </c>
      <c r="D56">
        <v>0</v>
      </c>
      <c r="E56">
        <v>0</v>
      </c>
      <c r="J56" t="s">
        <v>190</v>
      </c>
      <c r="K56">
        <v>1</v>
      </c>
      <c r="L56">
        <v>0</v>
      </c>
      <c r="M56">
        <v>0</v>
      </c>
      <c r="N56">
        <v>0</v>
      </c>
      <c r="S56" t="b">
        <f t="shared" si="1"/>
        <v>1</v>
      </c>
      <c r="T56" t="b">
        <f t="shared" si="2"/>
        <v>1</v>
      </c>
      <c r="U56" t="b">
        <f t="shared" si="3"/>
        <v>1</v>
      </c>
      <c r="V56" t="b">
        <f t="shared" si="4"/>
        <v>1</v>
      </c>
      <c r="W56" t="b">
        <f t="shared" si="5"/>
        <v>1</v>
      </c>
    </row>
    <row r="57" spans="1:23" x14ac:dyDescent="0.2">
      <c r="A57" t="s">
        <v>94</v>
      </c>
      <c r="B57">
        <v>2</v>
      </c>
      <c r="C57">
        <v>1</v>
      </c>
      <c r="D57">
        <v>1</v>
      </c>
      <c r="E57">
        <v>1</v>
      </c>
      <c r="F57">
        <v>1</v>
      </c>
      <c r="J57" t="s">
        <v>94</v>
      </c>
      <c r="K57">
        <v>2</v>
      </c>
      <c r="L57">
        <v>1</v>
      </c>
      <c r="M57">
        <v>1</v>
      </c>
      <c r="N57">
        <v>1</v>
      </c>
      <c r="O57">
        <v>1</v>
      </c>
      <c r="S57" t="b">
        <f t="shared" si="1"/>
        <v>1</v>
      </c>
      <c r="T57" t="b">
        <f t="shared" si="2"/>
        <v>1</v>
      </c>
      <c r="U57" t="b">
        <f t="shared" si="3"/>
        <v>1</v>
      </c>
      <c r="V57" t="b">
        <f t="shared" si="4"/>
        <v>1</v>
      </c>
      <c r="W57" t="b">
        <f t="shared" si="5"/>
        <v>1</v>
      </c>
    </row>
    <row r="58" spans="1:23" x14ac:dyDescent="0.2">
      <c r="A58" t="s">
        <v>95</v>
      </c>
      <c r="B58">
        <v>1</v>
      </c>
      <c r="C58">
        <v>1</v>
      </c>
      <c r="D58">
        <v>1</v>
      </c>
      <c r="E58">
        <v>1</v>
      </c>
      <c r="J58" t="s">
        <v>95</v>
      </c>
      <c r="K58">
        <v>1</v>
      </c>
      <c r="L58">
        <v>1</v>
      </c>
      <c r="M58">
        <v>1</v>
      </c>
      <c r="N58">
        <v>1</v>
      </c>
      <c r="S58" t="b">
        <f t="shared" si="1"/>
        <v>1</v>
      </c>
      <c r="T58" t="b">
        <f t="shared" si="2"/>
        <v>1</v>
      </c>
      <c r="U58" t="b">
        <f t="shared" si="3"/>
        <v>1</v>
      </c>
      <c r="V58" t="b">
        <f t="shared" si="4"/>
        <v>1</v>
      </c>
      <c r="W58" t="b">
        <f t="shared" si="5"/>
        <v>1</v>
      </c>
    </row>
    <row r="59" spans="1:23" x14ac:dyDescent="0.2">
      <c r="A59" t="s">
        <v>96</v>
      </c>
      <c r="B59">
        <v>0</v>
      </c>
      <c r="C59">
        <v>0</v>
      </c>
      <c r="D59">
        <v>0</v>
      </c>
      <c r="E59">
        <v>0</v>
      </c>
      <c r="J59" t="s">
        <v>96</v>
      </c>
      <c r="K59">
        <v>0</v>
      </c>
      <c r="L59">
        <v>0</v>
      </c>
      <c r="M59">
        <v>0</v>
      </c>
      <c r="N59">
        <v>0</v>
      </c>
      <c r="S59" t="b">
        <f t="shared" si="1"/>
        <v>1</v>
      </c>
      <c r="T59" t="b">
        <f t="shared" si="2"/>
        <v>1</v>
      </c>
      <c r="U59" t="b">
        <f t="shared" si="3"/>
        <v>1</v>
      </c>
      <c r="V59" t="b">
        <f t="shared" si="4"/>
        <v>1</v>
      </c>
      <c r="W59" t="b">
        <f t="shared" si="5"/>
        <v>1</v>
      </c>
    </row>
    <row r="60" spans="1:23" x14ac:dyDescent="0.2">
      <c r="A60" t="s">
        <v>97</v>
      </c>
      <c r="B60">
        <v>0</v>
      </c>
      <c r="C60">
        <v>0</v>
      </c>
      <c r="D60">
        <v>1</v>
      </c>
      <c r="E60">
        <v>0</v>
      </c>
      <c r="F60">
        <v>2</v>
      </c>
      <c r="J60" t="s">
        <v>97</v>
      </c>
      <c r="K60">
        <v>0</v>
      </c>
      <c r="L60">
        <v>0</v>
      </c>
      <c r="M60">
        <v>1</v>
      </c>
      <c r="N60">
        <v>0</v>
      </c>
      <c r="O60">
        <v>2</v>
      </c>
      <c r="S60" t="b">
        <f t="shared" si="1"/>
        <v>1</v>
      </c>
      <c r="T60" t="b">
        <f t="shared" si="2"/>
        <v>1</v>
      </c>
      <c r="U60" t="b">
        <f t="shared" si="3"/>
        <v>1</v>
      </c>
      <c r="V60" t="b">
        <f t="shared" si="4"/>
        <v>1</v>
      </c>
      <c r="W60" t="b">
        <f t="shared" si="5"/>
        <v>1</v>
      </c>
    </row>
    <row r="61" spans="1:23" x14ac:dyDescent="0.2">
      <c r="A61" t="s">
        <v>98</v>
      </c>
      <c r="B61">
        <v>1</v>
      </c>
      <c r="C61">
        <v>1</v>
      </c>
      <c r="D61">
        <v>1</v>
      </c>
      <c r="E61">
        <v>1</v>
      </c>
      <c r="F61">
        <v>1</v>
      </c>
      <c r="J61" t="s">
        <v>98</v>
      </c>
      <c r="K61">
        <v>1</v>
      </c>
      <c r="L61">
        <v>1</v>
      </c>
      <c r="M61">
        <v>1</v>
      </c>
      <c r="N61">
        <v>1</v>
      </c>
      <c r="O61">
        <v>1</v>
      </c>
      <c r="S61" t="b">
        <f t="shared" si="1"/>
        <v>1</v>
      </c>
      <c r="T61" t="b">
        <f t="shared" si="2"/>
        <v>1</v>
      </c>
      <c r="U61" t="b">
        <f t="shared" si="3"/>
        <v>1</v>
      </c>
      <c r="V61" t="b">
        <f t="shared" si="4"/>
        <v>1</v>
      </c>
      <c r="W61" t="b">
        <f t="shared" si="5"/>
        <v>1</v>
      </c>
    </row>
    <row r="62" spans="1:23" x14ac:dyDescent="0.2">
      <c r="A62" t="s">
        <v>99</v>
      </c>
      <c r="B62">
        <v>1</v>
      </c>
      <c r="C62">
        <v>0</v>
      </c>
      <c r="D62">
        <v>0</v>
      </c>
      <c r="E62">
        <v>0</v>
      </c>
      <c r="J62" t="s">
        <v>99</v>
      </c>
      <c r="K62">
        <v>1</v>
      </c>
      <c r="L62">
        <v>0</v>
      </c>
      <c r="M62">
        <v>0</v>
      </c>
      <c r="N62">
        <v>0</v>
      </c>
      <c r="S62" t="b">
        <f t="shared" si="1"/>
        <v>1</v>
      </c>
      <c r="T62" t="b">
        <f t="shared" si="2"/>
        <v>1</v>
      </c>
      <c r="U62" t="b">
        <f t="shared" si="3"/>
        <v>1</v>
      </c>
      <c r="V62" t="b">
        <f t="shared" si="4"/>
        <v>1</v>
      </c>
      <c r="W62" t="b">
        <f t="shared" si="5"/>
        <v>1</v>
      </c>
    </row>
    <row r="63" spans="1:23" x14ac:dyDescent="0.2">
      <c r="A63" t="s">
        <v>100</v>
      </c>
      <c r="B63">
        <v>1</v>
      </c>
      <c r="C63">
        <v>0</v>
      </c>
      <c r="D63">
        <v>0</v>
      </c>
      <c r="E63">
        <v>0</v>
      </c>
      <c r="F63">
        <v>1</v>
      </c>
      <c r="J63" t="s">
        <v>100</v>
      </c>
      <c r="K63">
        <v>1</v>
      </c>
      <c r="L63">
        <v>0</v>
      </c>
      <c r="M63">
        <v>0</v>
      </c>
      <c r="N63">
        <v>0</v>
      </c>
      <c r="O63">
        <v>1</v>
      </c>
      <c r="S63" t="b">
        <f t="shared" si="1"/>
        <v>1</v>
      </c>
      <c r="T63" t="b">
        <f t="shared" si="2"/>
        <v>1</v>
      </c>
      <c r="U63" t="b">
        <f t="shared" si="3"/>
        <v>1</v>
      </c>
      <c r="V63" t="b">
        <f t="shared" si="4"/>
        <v>1</v>
      </c>
      <c r="W63" t="b">
        <f t="shared" si="5"/>
        <v>1</v>
      </c>
    </row>
    <row r="64" spans="1:23" x14ac:dyDescent="0.2">
      <c r="A64" t="s">
        <v>101</v>
      </c>
      <c r="B64">
        <v>1</v>
      </c>
      <c r="C64">
        <v>1</v>
      </c>
      <c r="D64">
        <v>1</v>
      </c>
      <c r="E64">
        <v>1</v>
      </c>
      <c r="J64" t="s">
        <v>101</v>
      </c>
      <c r="K64">
        <v>1</v>
      </c>
      <c r="L64">
        <v>1</v>
      </c>
      <c r="M64">
        <v>1</v>
      </c>
      <c r="N64">
        <v>1</v>
      </c>
      <c r="S64" t="b">
        <f t="shared" si="1"/>
        <v>1</v>
      </c>
      <c r="T64" t="b">
        <f t="shared" si="2"/>
        <v>1</v>
      </c>
      <c r="U64" t="b">
        <f t="shared" si="3"/>
        <v>1</v>
      </c>
      <c r="V64" t="b">
        <f t="shared" si="4"/>
        <v>1</v>
      </c>
      <c r="W64" t="b">
        <f t="shared" si="5"/>
        <v>1</v>
      </c>
    </row>
    <row r="65" spans="1:23" x14ac:dyDescent="0.2">
      <c r="A65" t="s">
        <v>102</v>
      </c>
      <c r="B65">
        <v>0</v>
      </c>
      <c r="C65">
        <v>0</v>
      </c>
      <c r="D65">
        <v>0</v>
      </c>
      <c r="E65">
        <v>0</v>
      </c>
      <c r="F65">
        <v>1</v>
      </c>
      <c r="J65" t="s">
        <v>102</v>
      </c>
      <c r="K65">
        <v>0</v>
      </c>
      <c r="L65">
        <v>0</v>
      </c>
      <c r="M65">
        <v>0</v>
      </c>
      <c r="N65">
        <v>0</v>
      </c>
      <c r="O65">
        <v>1</v>
      </c>
      <c r="S65" t="b">
        <f t="shared" si="1"/>
        <v>1</v>
      </c>
      <c r="T65" t="b">
        <f t="shared" si="2"/>
        <v>1</v>
      </c>
      <c r="U65" t="b">
        <f t="shared" si="3"/>
        <v>1</v>
      </c>
      <c r="V65" t="b">
        <f t="shared" si="4"/>
        <v>1</v>
      </c>
      <c r="W65" t="b">
        <f t="shared" si="5"/>
        <v>1</v>
      </c>
    </row>
    <row r="66" spans="1:23" x14ac:dyDescent="0.2">
      <c r="A66" t="s">
        <v>103</v>
      </c>
      <c r="B66">
        <v>0</v>
      </c>
      <c r="C66">
        <v>1</v>
      </c>
      <c r="D66">
        <v>0</v>
      </c>
      <c r="E66">
        <v>1</v>
      </c>
      <c r="J66" t="s">
        <v>103</v>
      </c>
      <c r="K66">
        <v>0</v>
      </c>
      <c r="L66">
        <v>1</v>
      </c>
      <c r="M66">
        <v>0</v>
      </c>
      <c r="N66">
        <v>1</v>
      </c>
      <c r="S66" t="b">
        <f t="shared" si="1"/>
        <v>1</v>
      </c>
      <c r="T66" t="b">
        <f t="shared" si="2"/>
        <v>1</v>
      </c>
      <c r="U66" t="b">
        <f t="shared" si="3"/>
        <v>1</v>
      </c>
      <c r="V66" t="b">
        <f t="shared" si="4"/>
        <v>1</v>
      </c>
      <c r="W66" t="b">
        <f t="shared" si="5"/>
        <v>1</v>
      </c>
    </row>
    <row r="67" spans="1:23" x14ac:dyDescent="0.2">
      <c r="A67" t="s">
        <v>104</v>
      </c>
      <c r="B67">
        <v>0</v>
      </c>
      <c r="C67">
        <v>0</v>
      </c>
      <c r="D67">
        <v>0</v>
      </c>
      <c r="E67">
        <v>0</v>
      </c>
      <c r="J67" t="s">
        <v>104</v>
      </c>
      <c r="K67">
        <v>0</v>
      </c>
      <c r="L67">
        <v>0</v>
      </c>
      <c r="M67">
        <v>0</v>
      </c>
      <c r="N67">
        <v>0</v>
      </c>
      <c r="S67" t="b">
        <f t="shared" si="1"/>
        <v>1</v>
      </c>
      <c r="T67" t="b">
        <f t="shared" si="2"/>
        <v>1</v>
      </c>
      <c r="U67" t="b">
        <f t="shared" si="3"/>
        <v>1</v>
      </c>
      <c r="V67" t="b">
        <f t="shared" si="4"/>
        <v>1</v>
      </c>
      <c r="W67" t="b">
        <f t="shared" si="5"/>
        <v>1</v>
      </c>
    </row>
    <row r="68" spans="1:23" x14ac:dyDescent="0.2">
      <c r="A68" t="s">
        <v>105</v>
      </c>
      <c r="B68">
        <v>0</v>
      </c>
      <c r="C68">
        <v>0</v>
      </c>
      <c r="D68">
        <v>0</v>
      </c>
      <c r="E68">
        <v>0</v>
      </c>
      <c r="J68" t="s">
        <v>105</v>
      </c>
      <c r="K68">
        <v>0</v>
      </c>
      <c r="L68">
        <v>0</v>
      </c>
      <c r="M68">
        <v>0</v>
      </c>
      <c r="N68">
        <v>0</v>
      </c>
      <c r="S68" t="b">
        <f t="shared" ref="S68:S131" si="6">B68=K68</f>
        <v>1</v>
      </c>
      <c r="T68" t="b">
        <f t="shared" ref="T68:T131" si="7">C68=L68</f>
        <v>1</v>
      </c>
      <c r="U68" t="b">
        <f t="shared" ref="U68:U131" si="8">D68=M68</f>
        <v>1</v>
      </c>
      <c r="V68" t="b">
        <f t="shared" ref="V68:V131" si="9">E68=N68</f>
        <v>1</v>
      </c>
      <c r="W68" t="b">
        <f t="shared" ref="W68:W131" si="10">F68=O68</f>
        <v>1</v>
      </c>
    </row>
    <row r="69" spans="1:23" x14ac:dyDescent="0.2">
      <c r="A69" t="s">
        <v>493</v>
      </c>
      <c r="C69">
        <v>1</v>
      </c>
      <c r="D69">
        <v>0</v>
      </c>
      <c r="E69">
        <v>0</v>
      </c>
      <c r="F69">
        <v>0</v>
      </c>
      <c r="J69" t="s">
        <v>493</v>
      </c>
      <c r="L69">
        <v>1</v>
      </c>
      <c r="S69" t="b">
        <f t="shared" si="6"/>
        <v>1</v>
      </c>
      <c r="T69" t="b">
        <f t="shared" si="7"/>
        <v>1</v>
      </c>
      <c r="U69" t="b">
        <f t="shared" si="8"/>
        <v>1</v>
      </c>
      <c r="V69" t="b">
        <f t="shared" si="9"/>
        <v>1</v>
      </c>
      <c r="W69" t="b">
        <f t="shared" si="10"/>
        <v>1</v>
      </c>
    </row>
    <row r="70" spans="1:23" x14ac:dyDescent="0.2">
      <c r="A70" t="s">
        <v>106</v>
      </c>
      <c r="B70">
        <v>2</v>
      </c>
      <c r="C70">
        <v>0</v>
      </c>
      <c r="D70">
        <v>0</v>
      </c>
      <c r="E70">
        <v>0</v>
      </c>
      <c r="F70">
        <v>1</v>
      </c>
      <c r="J70" t="s">
        <v>106</v>
      </c>
      <c r="K70">
        <v>2</v>
      </c>
      <c r="L70">
        <v>0</v>
      </c>
      <c r="M70">
        <v>0</v>
      </c>
      <c r="N70">
        <v>0</v>
      </c>
      <c r="O70">
        <v>1</v>
      </c>
      <c r="S70" t="b">
        <f t="shared" si="6"/>
        <v>1</v>
      </c>
      <c r="T70" t="b">
        <f t="shared" si="7"/>
        <v>1</v>
      </c>
      <c r="U70" t="b">
        <f t="shared" si="8"/>
        <v>1</v>
      </c>
      <c r="V70" t="b">
        <f t="shared" si="9"/>
        <v>1</v>
      </c>
      <c r="W70" t="b">
        <f t="shared" si="10"/>
        <v>1</v>
      </c>
    </row>
    <row r="71" spans="1:23" x14ac:dyDescent="0.2">
      <c r="A71" t="s">
        <v>107</v>
      </c>
      <c r="B71">
        <v>0</v>
      </c>
      <c r="C71">
        <v>0</v>
      </c>
      <c r="D71">
        <v>1</v>
      </c>
      <c r="E71">
        <v>0</v>
      </c>
      <c r="F71">
        <v>1</v>
      </c>
      <c r="J71" t="s">
        <v>107</v>
      </c>
      <c r="K71">
        <v>0</v>
      </c>
      <c r="L71">
        <v>0</v>
      </c>
      <c r="M71">
        <v>1</v>
      </c>
      <c r="N71">
        <v>0</v>
      </c>
      <c r="O71">
        <v>1</v>
      </c>
      <c r="S71" t="b">
        <f t="shared" si="6"/>
        <v>1</v>
      </c>
      <c r="T71" t="b">
        <f t="shared" si="7"/>
        <v>1</v>
      </c>
      <c r="U71" t="b">
        <f t="shared" si="8"/>
        <v>1</v>
      </c>
      <c r="V71" t="b">
        <f t="shared" si="9"/>
        <v>1</v>
      </c>
      <c r="W71" t="b">
        <f t="shared" si="10"/>
        <v>1</v>
      </c>
    </row>
    <row r="72" spans="1:23" x14ac:dyDescent="0.2">
      <c r="A72" t="s">
        <v>108</v>
      </c>
      <c r="B72">
        <v>0</v>
      </c>
      <c r="C72">
        <v>0</v>
      </c>
      <c r="D72">
        <v>0</v>
      </c>
      <c r="E72">
        <v>0</v>
      </c>
      <c r="F72">
        <v>1</v>
      </c>
      <c r="J72" t="s">
        <v>108</v>
      </c>
      <c r="K72">
        <v>0</v>
      </c>
      <c r="L72">
        <v>0</v>
      </c>
      <c r="M72">
        <v>0</v>
      </c>
      <c r="N72">
        <v>0</v>
      </c>
      <c r="O72">
        <v>1</v>
      </c>
      <c r="S72" t="b">
        <f t="shared" si="6"/>
        <v>1</v>
      </c>
      <c r="T72" t="b">
        <f t="shared" si="7"/>
        <v>1</v>
      </c>
      <c r="U72" t="b">
        <f t="shared" si="8"/>
        <v>1</v>
      </c>
      <c r="V72" t="b">
        <f t="shared" si="9"/>
        <v>1</v>
      </c>
      <c r="W72" t="b">
        <f t="shared" si="10"/>
        <v>1</v>
      </c>
    </row>
    <row r="73" spans="1:23" x14ac:dyDescent="0.2">
      <c r="A73" t="s">
        <v>109</v>
      </c>
      <c r="B73">
        <v>0</v>
      </c>
      <c r="C73">
        <v>0</v>
      </c>
      <c r="D73">
        <v>0</v>
      </c>
      <c r="E73">
        <v>0</v>
      </c>
      <c r="J73" t="s">
        <v>109</v>
      </c>
      <c r="K73">
        <v>0</v>
      </c>
      <c r="L73">
        <v>0</v>
      </c>
      <c r="M73">
        <v>0</v>
      </c>
      <c r="N73">
        <v>0</v>
      </c>
      <c r="S73" t="b">
        <f t="shared" si="6"/>
        <v>1</v>
      </c>
      <c r="T73" t="b">
        <f t="shared" si="7"/>
        <v>1</v>
      </c>
      <c r="U73" t="b">
        <f t="shared" si="8"/>
        <v>1</v>
      </c>
      <c r="V73" t="b">
        <f t="shared" si="9"/>
        <v>1</v>
      </c>
      <c r="W73" t="b">
        <f t="shared" si="10"/>
        <v>1</v>
      </c>
    </row>
    <row r="74" spans="1:23" x14ac:dyDescent="0.2">
      <c r="A74" t="s">
        <v>110</v>
      </c>
      <c r="B74">
        <v>0</v>
      </c>
      <c r="C74">
        <v>0</v>
      </c>
      <c r="D74">
        <v>0</v>
      </c>
      <c r="E74">
        <v>1</v>
      </c>
      <c r="J74" t="s">
        <v>110</v>
      </c>
      <c r="K74">
        <v>0</v>
      </c>
      <c r="L74">
        <v>0</v>
      </c>
      <c r="M74">
        <v>0</v>
      </c>
      <c r="N74">
        <v>1</v>
      </c>
      <c r="S74" t="b">
        <f t="shared" si="6"/>
        <v>1</v>
      </c>
      <c r="T74" t="b">
        <f t="shared" si="7"/>
        <v>1</v>
      </c>
      <c r="U74" t="b">
        <f t="shared" si="8"/>
        <v>1</v>
      </c>
      <c r="V74" t="b">
        <f t="shared" si="9"/>
        <v>1</v>
      </c>
      <c r="W74" t="b">
        <f t="shared" si="10"/>
        <v>1</v>
      </c>
    </row>
    <row r="75" spans="1:23" x14ac:dyDescent="0.2">
      <c r="A75" t="s">
        <v>111</v>
      </c>
      <c r="B75">
        <v>1</v>
      </c>
      <c r="C75">
        <v>0</v>
      </c>
      <c r="D75">
        <v>0</v>
      </c>
      <c r="E75">
        <v>0</v>
      </c>
      <c r="F75">
        <v>1</v>
      </c>
      <c r="J75" t="s">
        <v>111</v>
      </c>
      <c r="K75">
        <v>1</v>
      </c>
      <c r="L75">
        <v>0</v>
      </c>
      <c r="M75">
        <v>0</v>
      </c>
      <c r="N75">
        <v>0</v>
      </c>
      <c r="O75">
        <v>1</v>
      </c>
      <c r="S75" t="b">
        <f t="shared" si="6"/>
        <v>1</v>
      </c>
      <c r="T75" t="b">
        <f t="shared" si="7"/>
        <v>1</v>
      </c>
      <c r="U75" t="b">
        <f t="shared" si="8"/>
        <v>1</v>
      </c>
      <c r="V75" t="b">
        <f t="shared" si="9"/>
        <v>1</v>
      </c>
      <c r="W75" t="b">
        <f t="shared" si="10"/>
        <v>1</v>
      </c>
    </row>
    <row r="76" spans="1:23" x14ac:dyDescent="0.2">
      <c r="A76" t="s">
        <v>112</v>
      </c>
      <c r="B76">
        <v>1</v>
      </c>
      <c r="C76">
        <v>0</v>
      </c>
      <c r="D76">
        <v>1</v>
      </c>
      <c r="E76">
        <v>0</v>
      </c>
      <c r="J76" t="s">
        <v>112</v>
      </c>
      <c r="K76">
        <v>1</v>
      </c>
      <c r="L76">
        <v>0</v>
      </c>
      <c r="M76">
        <v>1</v>
      </c>
      <c r="N76">
        <v>0</v>
      </c>
      <c r="S76" t="b">
        <f t="shared" si="6"/>
        <v>1</v>
      </c>
      <c r="T76" t="b">
        <f t="shared" si="7"/>
        <v>1</v>
      </c>
      <c r="U76" t="b">
        <f t="shared" si="8"/>
        <v>1</v>
      </c>
      <c r="V76" t="b">
        <f t="shared" si="9"/>
        <v>1</v>
      </c>
      <c r="W76" t="b">
        <f t="shared" si="10"/>
        <v>1</v>
      </c>
    </row>
    <row r="77" spans="1:23" x14ac:dyDescent="0.2">
      <c r="A77" t="s">
        <v>192</v>
      </c>
      <c r="B77">
        <v>0</v>
      </c>
      <c r="C77">
        <v>0</v>
      </c>
      <c r="D77">
        <v>0</v>
      </c>
      <c r="E77">
        <v>1</v>
      </c>
      <c r="J77" t="s">
        <v>192</v>
      </c>
      <c r="K77">
        <v>0</v>
      </c>
      <c r="L77">
        <v>0</v>
      </c>
      <c r="M77">
        <v>0</v>
      </c>
      <c r="N77">
        <v>1</v>
      </c>
      <c r="S77" t="b">
        <f t="shared" si="6"/>
        <v>1</v>
      </c>
      <c r="T77" t="b">
        <f t="shared" si="7"/>
        <v>1</v>
      </c>
      <c r="U77" t="b">
        <f t="shared" si="8"/>
        <v>1</v>
      </c>
      <c r="V77" t="b">
        <f t="shared" si="9"/>
        <v>1</v>
      </c>
      <c r="W77" t="b">
        <f t="shared" si="10"/>
        <v>1</v>
      </c>
    </row>
    <row r="78" spans="1:23" x14ac:dyDescent="0.2">
      <c r="A78" t="s">
        <v>191</v>
      </c>
      <c r="B78">
        <v>1</v>
      </c>
      <c r="C78">
        <v>0</v>
      </c>
      <c r="D78">
        <v>1</v>
      </c>
      <c r="E78">
        <v>0</v>
      </c>
      <c r="J78" t="s">
        <v>191</v>
      </c>
      <c r="K78">
        <v>1</v>
      </c>
      <c r="L78">
        <v>0</v>
      </c>
      <c r="M78">
        <v>1</v>
      </c>
      <c r="N78">
        <v>0</v>
      </c>
      <c r="S78" t="b">
        <f t="shared" si="6"/>
        <v>1</v>
      </c>
      <c r="T78" t="b">
        <f t="shared" si="7"/>
        <v>1</v>
      </c>
      <c r="U78" t="b">
        <f t="shared" si="8"/>
        <v>1</v>
      </c>
      <c r="V78" t="b">
        <f t="shared" si="9"/>
        <v>1</v>
      </c>
      <c r="W78" t="b">
        <f t="shared" si="10"/>
        <v>1</v>
      </c>
    </row>
    <row r="79" spans="1:23" x14ac:dyDescent="0.2">
      <c r="A79" t="s">
        <v>113</v>
      </c>
      <c r="B79">
        <v>1</v>
      </c>
      <c r="C79">
        <v>1</v>
      </c>
      <c r="D79">
        <v>0</v>
      </c>
      <c r="E79">
        <v>1</v>
      </c>
      <c r="F79">
        <v>2</v>
      </c>
      <c r="J79" t="s">
        <v>113</v>
      </c>
      <c r="K79">
        <v>1</v>
      </c>
      <c r="L79">
        <v>1</v>
      </c>
      <c r="M79">
        <v>0</v>
      </c>
      <c r="N79">
        <v>1</v>
      </c>
      <c r="O79">
        <v>2</v>
      </c>
      <c r="S79" t="b">
        <f t="shared" si="6"/>
        <v>1</v>
      </c>
      <c r="T79" t="b">
        <f t="shared" si="7"/>
        <v>1</v>
      </c>
      <c r="U79" t="b">
        <f t="shared" si="8"/>
        <v>1</v>
      </c>
      <c r="V79" t="b">
        <f t="shared" si="9"/>
        <v>1</v>
      </c>
      <c r="W79" t="b">
        <f t="shared" si="10"/>
        <v>1</v>
      </c>
    </row>
    <row r="80" spans="1:23" x14ac:dyDescent="0.2">
      <c r="A80" t="s">
        <v>114</v>
      </c>
      <c r="B80">
        <v>0</v>
      </c>
      <c r="C80">
        <v>0</v>
      </c>
      <c r="D80">
        <v>0</v>
      </c>
      <c r="E80">
        <v>1</v>
      </c>
      <c r="J80" t="s">
        <v>114</v>
      </c>
      <c r="K80">
        <v>0</v>
      </c>
      <c r="L80">
        <v>0</v>
      </c>
      <c r="M80">
        <v>0</v>
      </c>
      <c r="N80">
        <v>1</v>
      </c>
      <c r="S80" t="b">
        <f t="shared" si="6"/>
        <v>1</v>
      </c>
      <c r="T80" t="b">
        <f t="shared" si="7"/>
        <v>1</v>
      </c>
      <c r="U80" t="b">
        <f t="shared" si="8"/>
        <v>1</v>
      </c>
      <c r="V80" t="b">
        <f t="shared" si="9"/>
        <v>1</v>
      </c>
      <c r="W80" t="b">
        <f t="shared" si="10"/>
        <v>1</v>
      </c>
    </row>
    <row r="81" spans="1:23" x14ac:dyDescent="0.2">
      <c r="A81" t="s">
        <v>115</v>
      </c>
      <c r="B81">
        <v>0</v>
      </c>
      <c r="C81">
        <v>1</v>
      </c>
      <c r="D81">
        <v>0</v>
      </c>
      <c r="E81">
        <v>0</v>
      </c>
      <c r="J81" t="s">
        <v>115</v>
      </c>
      <c r="K81">
        <v>0</v>
      </c>
      <c r="L81">
        <v>1</v>
      </c>
      <c r="M81">
        <v>0</v>
      </c>
      <c r="N81">
        <v>0</v>
      </c>
      <c r="S81" t="b">
        <f t="shared" si="6"/>
        <v>1</v>
      </c>
      <c r="T81" t="b">
        <f t="shared" si="7"/>
        <v>1</v>
      </c>
      <c r="U81" t="b">
        <f t="shared" si="8"/>
        <v>1</v>
      </c>
      <c r="V81" t="b">
        <f t="shared" si="9"/>
        <v>1</v>
      </c>
      <c r="W81" t="b">
        <f t="shared" si="10"/>
        <v>1</v>
      </c>
    </row>
    <row r="82" spans="1:23" x14ac:dyDescent="0.2">
      <c r="A82" t="s">
        <v>116</v>
      </c>
      <c r="B82">
        <v>0</v>
      </c>
      <c r="C82">
        <v>0</v>
      </c>
      <c r="D82">
        <v>1</v>
      </c>
      <c r="E82">
        <v>0</v>
      </c>
      <c r="J82" t="s">
        <v>116</v>
      </c>
      <c r="K82">
        <v>0</v>
      </c>
      <c r="L82">
        <v>0</v>
      </c>
      <c r="M82">
        <v>1</v>
      </c>
      <c r="N82">
        <v>0</v>
      </c>
      <c r="S82" t="b">
        <f t="shared" si="6"/>
        <v>1</v>
      </c>
      <c r="T82" t="b">
        <f t="shared" si="7"/>
        <v>1</v>
      </c>
      <c r="U82" t="b">
        <f t="shared" si="8"/>
        <v>1</v>
      </c>
      <c r="V82" t="b">
        <f t="shared" si="9"/>
        <v>1</v>
      </c>
      <c r="W82" t="b">
        <f t="shared" si="10"/>
        <v>1</v>
      </c>
    </row>
    <row r="83" spans="1:23" x14ac:dyDescent="0.2">
      <c r="A83" t="s">
        <v>117</v>
      </c>
      <c r="B83">
        <v>1</v>
      </c>
      <c r="C83">
        <v>0</v>
      </c>
      <c r="D83">
        <v>0</v>
      </c>
      <c r="E83">
        <v>1</v>
      </c>
      <c r="J83" t="s">
        <v>117</v>
      </c>
      <c r="K83">
        <v>1</v>
      </c>
      <c r="L83">
        <v>0</v>
      </c>
      <c r="M83">
        <v>0</v>
      </c>
      <c r="N83">
        <v>1</v>
      </c>
      <c r="S83" t="b">
        <f t="shared" si="6"/>
        <v>1</v>
      </c>
      <c r="T83" t="b">
        <f t="shared" si="7"/>
        <v>1</v>
      </c>
      <c r="U83" t="b">
        <f t="shared" si="8"/>
        <v>1</v>
      </c>
      <c r="V83" t="b">
        <f t="shared" si="9"/>
        <v>1</v>
      </c>
      <c r="W83" t="b">
        <f t="shared" si="10"/>
        <v>1</v>
      </c>
    </row>
    <row r="84" spans="1:23" x14ac:dyDescent="0.2">
      <c r="A84" t="s">
        <v>118</v>
      </c>
      <c r="B84">
        <v>0</v>
      </c>
      <c r="C84">
        <v>0</v>
      </c>
      <c r="D84">
        <v>0</v>
      </c>
      <c r="E84">
        <v>0</v>
      </c>
      <c r="F84">
        <v>1</v>
      </c>
      <c r="J84" t="s">
        <v>118</v>
      </c>
      <c r="K84">
        <v>0</v>
      </c>
      <c r="L84">
        <v>0</v>
      </c>
      <c r="M84">
        <v>0</v>
      </c>
      <c r="N84">
        <v>0</v>
      </c>
      <c r="O84">
        <v>1</v>
      </c>
      <c r="S84" t="b">
        <f t="shared" si="6"/>
        <v>1</v>
      </c>
      <c r="T84" t="b">
        <f t="shared" si="7"/>
        <v>1</v>
      </c>
      <c r="U84" t="b">
        <f t="shared" si="8"/>
        <v>1</v>
      </c>
      <c r="V84" t="b">
        <f t="shared" si="9"/>
        <v>1</v>
      </c>
      <c r="W84" t="b">
        <f t="shared" si="10"/>
        <v>1</v>
      </c>
    </row>
    <row r="85" spans="1:23" x14ac:dyDescent="0.2">
      <c r="A85" t="s">
        <v>119</v>
      </c>
      <c r="B85">
        <v>0</v>
      </c>
      <c r="C85">
        <v>0</v>
      </c>
      <c r="D85">
        <v>0</v>
      </c>
      <c r="E85">
        <v>1</v>
      </c>
      <c r="J85" t="s">
        <v>119</v>
      </c>
      <c r="K85">
        <v>0</v>
      </c>
      <c r="L85">
        <v>0</v>
      </c>
      <c r="M85">
        <v>0</v>
      </c>
      <c r="N85">
        <v>1</v>
      </c>
      <c r="S85" t="b">
        <f t="shared" si="6"/>
        <v>1</v>
      </c>
      <c r="T85" t="b">
        <f t="shared" si="7"/>
        <v>1</v>
      </c>
      <c r="U85" t="b">
        <f t="shared" si="8"/>
        <v>1</v>
      </c>
      <c r="V85" t="b">
        <f t="shared" si="9"/>
        <v>1</v>
      </c>
      <c r="W85" t="b">
        <f t="shared" si="10"/>
        <v>1</v>
      </c>
    </row>
    <row r="86" spans="1:23" x14ac:dyDescent="0.2">
      <c r="A86" t="s">
        <v>120</v>
      </c>
      <c r="B86">
        <v>1</v>
      </c>
      <c r="C86">
        <v>2</v>
      </c>
      <c r="D86">
        <v>0</v>
      </c>
      <c r="E86">
        <v>0</v>
      </c>
      <c r="F86">
        <v>2</v>
      </c>
      <c r="J86" t="s">
        <v>120</v>
      </c>
      <c r="K86">
        <v>1</v>
      </c>
      <c r="L86">
        <v>2</v>
      </c>
      <c r="M86">
        <v>0</v>
      </c>
      <c r="N86">
        <v>0</v>
      </c>
      <c r="O86">
        <v>2</v>
      </c>
      <c r="S86" t="b">
        <f t="shared" si="6"/>
        <v>1</v>
      </c>
      <c r="T86" t="b">
        <f t="shared" si="7"/>
        <v>1</v>
      </c>
      <c r="U86" t="b">
        <f t="shared" si="8"/>
        <v>1</v>
      </c>
      <c r="V86" t="b">
        <f t="shared" si="9"/>
        <v>1</v>
      </c>
      <c r="W86" t="b">
        <f t="shared" si="10"/>
        <v>1</v>
      </c>
    </row>
    <row r="87" spans="1:23" x14ac:dyDescent="0.2">
      <c r="A87" t="s">
        <v>121</v>
      </c>
      <c r="B87">
        <v>1</v>
      </c>
      <c r="C87">
        <v>0</v>
      </c>
      <c r="D87">
        <v>0</v>
      </c>
      <c r="E87">
        <v>0</v>
      </c>
      <c r="J87" t="s">
        <v>121</v>
      </c>
      <c r="K87">
        <v>1</v>
      </c>
      <c r="L87">
        <v>0</v>
      </c>
      <c r="M87">
        <v>0</v>
      </c>
      <c r="N87">
        <v>0</v>
      </c>
      <c r="S87" t="b">
        <f t="shared" si="6"/>
        <v>1</v>
      </c>
      <c r="T87" t="b">
        <f t="shared" si="7"/>
        <v>1</v>
      </c>
      <c r="U87" t="b">
        <f t="shared" si="8"/>
        <v>1</v>
      </c>
      <c r="V87" t="b">
        <f t="shared" si="9"/>
        <v>1</v>
      </c>
      <c r="W87" t="b">
        <f t="shared" si="10"/>
        <v>1</v>
      </c>
    </row>
    <row r="88" spans="1:23" x14ac:dyDescent="0.2">
      <c r="A88" t="s">
        <v>122</v>
      </c>
      <c r="B88">
        <v>0</v>
      </c>
      <c r="C88">
        <v>1</v>
      </c>
      <c r="D88">
        <v>0</v>
      </c>
      <c r="E88">
        <v>1</v>
      </c>
      <c r="F88">
        <v>0</v>
      </c>
      <c r="J88" t="s">
        <v>122</v>
      </c>
      <c r="K88">
        <v>0</v>
      </c>
      <c r="L88">
        <v>1</v>
      </c>
      <c r="M88">
        <v>0</v>
      </c>
      <c r="N88">
        <v>1</v>
      </c>
      <c r="O88">
        <v>0</v>
      </c>
      <c r="S88" t="b">
        <f t="shared" si="6"/>
        <v>1</v>
      </c>
      <c r="T88" t="b">
        <f t="shared" si="7"/>
        <v>1</v>
      </c>
      <c r="U88" t="b">
        <f t="shared" si="8"/>
        <v>1</v>
      </c>
      <c r="V88" t="b">
        <f t="shared" si="9"/>
        <v>1</v>
      </c>
      <c r="W88" t="b">
        <f t="shared" si="10"/>
        <v>1</v>
      </c>
    </row>
    <row r="89" spans="1:23" x14ac:dyDescent="0.2">
      <c r="A89" t="s">
        <v>123</v>
      </c>
      <c r="B89">
        <v>1</v>
      </c>
      <c r="C89">
        <v>1</v>
      </c>
      <c r="D89">
        <v>0</v>
      </c>
      <c r="E89">
        <v>2</v>
      </c>
      <c r="J89" t="s">
        <v>123</v>
      </c>
      <c r="K89">
        <v>1</v>
      </c>
      <c r="L89">
        <v>1</v>
      </c>
      <c r="M89">
        <v>0</v>
      </c>
      <c r="N89">
        <v>2</v>
      </c>
      <c r="S89" t="b">
        <f t="shared" si="6"/>
        <v>1</v>
      </c>
      <c r="T89" t="b">
        <f t="shared" si="7"/>
        <v>1</v>
      </c>
      <c r="U89" t="b">
        <f t="shared" si="8"/>
        <v>1</v>
      </c>
      <c r="V89" t="b">
        <f t="shared" si="9"/>
        <v>1</v>
      </c>
      <c r="W89" t="b">
        <f t="shared" si="10"/>
        <v>1</v>
      </c>
    </row>
    <row r="90" spans="1:23" x14ac:dyDescent="0.2">
      <c r="A90" t="s">
        <v>124</v>
      </c>
      <c r="B90">
        <v>1</v>
      </c>
      <c r="C90">
        <v>1</v>
      </c>
      <c r="D90">
        <v>0</v>
      </c>
      <c r="E90">
        <v>0</v>
      </c>
      <c r="J90" t="s">
        <v>124</v>
      </c>
      <c r="K90">
        <v>1</v>
      </c>
      <c r="L90">
        <v>1</v>
      </c>
      <c r="M90">
        <v>0</v>
      </c>
      <c r="N90">
        <v>0</v>
      </c>
      <c r="S90" t="b">
        <f t="shared" si="6"/>
        <v>1</v>
      </c>
      <c r="T90" t="b">
        <f t="shared" si="7"/>
        <v>1</v>
      </c>
      <c r="U90" t="b">
        <f t="shared" si="8"/>
        <v>1</v>
      </c>
      <c r="V90" t="b">
        <f t="shared" si="9"/>
        <v>1</v>
      </c>
      <c r="W90" t="b">
        <f t="shared" si="10"/>
        <v>1</v>
      </c>
    </row>
    <row r="91" spans="1:23" x14ac:dyDescent="0.2">
      <c r="A91" t="s">
        <v>125</v>
      </c>
      <c r="B91">
        <v>1</v>
      </c>
      <c r="C91">
        <v>0</v>
      </c>
      <c r="D91">
        <v>1</v>
      </c>
      <c r="E91">
        <v>0</v>
      </c>
      <c r="J91" t="s">
        <v>125</v>
      </c>
      <c r="K91">
        <v>1</v>
      </c>
      <c r="L91">
        <v>0</v>
      </c>
      <c r="M91">
        <v>1</v>
      </c>
      <c r="N91">
        <v>0</v>
      </c>
      <c r="S91" t="b">
        <f t="shared" si="6"/>
        <v>1</v>
      </c>
      <c r="T91" t="b">
        <f t="shared" si="7"/>
        <v>1</v>
      </c>
      <c r="U91" t="b">
        <f t="shared" si="8"/>
        <v>1</v>
      </c>
      <c r="V91" t="b">
        <f t="shared" si="9"/>
        <v>1</v>
      </c>
      <c r="W91" t="b">
        <f t="shared" si="10"/>
        <v>1</v>
      </c>
    </row>
    <row r="92" spans="1:23" x14ac:dyDescent="0.2">
      <c r="A92" t="s">
        <v>126</v>
      </c>
      <c r="B92">
        <v>1</v>
      </c>
      <c r="C92">
        <v>1</v>
      </c>
      <c r="D92">
        <v>1</v>
      </c>
      <c r="E92">
        <v>1</v>
      </c>
      <c r="F92">
        <v>1</v>
      </c>
      <c r="J92" t="s">
        <v>126</v>
      </c>
      <c r="K92">
        <v>1</v>
      </c>
      <c r="L92">
        <v>1</v>
      </c>
      <c r="M92">
        <v>1</v>
      </c>
      <c r="N92">
        <v>1</v>
      </c>
      <c r="O92">
        <v>1</v>
      </c>
      <c r="S92" t="b">
        <f t="shared" si="6"/>
        <v>1</v>
      </c>
      <c r="T92" t="b">
        <f t="shared" si="7"/>
        <v>1</v>
      </c>
      <c r="U92" t="b">
        <f t="shared" si="8"/>
        <v>1</v>
      </c>
      <c r="V92" t="b">
        <f t="shared" si="9"/>
        <v>1</v>
      </c>
      <c r="W92" t="b">
        <f t="shared" si="10"/>
        <v>1</v>
      </c>
    </row>
    <row r="93" spans="1:23" x14ac:dyDescent="0.2">
      <c r="A93" t="s">
        <v>127</v>
      </c>
      <c r="B93">
        <v>1</v>
      </c>
      <c r="C93">
        <v>0</v>
      </c>
      <c r="D93">
        <v>1</v>
      </c>
      <c r="E93">
        <v>1</v>
      </c>
      <c r="F93">
        <v>1</v>
      </c>
      <c r="J93" t="s">
        <v>127</v>
      </c>
      <c r="K93">
        <v>1</v>
      </c>
      <c r="L93">
        <v>0</v>
      </c>
      <c r="M93">
        <v>1</v>
      </c>
      <c r="N93">
        <v>1</v>
      </c>
      <c r="O93">
        <v>1</v>
      </c>
      <c r="S93" t="b">
        <f t="shared" si="6"/>
        <v>1</v>
      </c>
      <c r="T93" t="b">
        <f t="shared" si="7"/>
        <v>1</v>
      </c>
      <c r="U93" t="b">
        <f t="shared" si="8"/>
        <v>1</v>
      </c>
      <c r="V93" t="b">
        <f t="shared" si="9"/>
        <v>1</v>
      </c>
      <c r="W93" t="b">
        <f t="shared" si="10"/>
        <v>1</v>
      </c>
    </row>
    <row r="94" spans="1:23" x14ac:dyDescent="0.2">
      <c r="A94" t="s">
        <v>128</v>
      </c>
      <c r="B94">
        <v>1</v>
      </c>
      <c r="C94">
        <v>0</v>
      </c>
      <c r="D94">
        <v>0</v>
      </c>
      <c r="E94">
        <v>0</v>
      </c>
      <c r="J94" t="s">
        <v>128</v>
      </c>
      <c r="K94">
        <v>1</v>
      </c>
      <c r="L94">
        <v>0</v>
      </c>
      <c r="M94">
        <v>0</v>
      </c>
      <c r="N94">
        <v>0</v>
      </c>
      <c r="S94" t="b">
        <f t="shared" si="6"/>
        <v>1</v>
      </c>
      <c r="T94" t="b">
        <f t="shared" si="7"/>
        <v>1</v>
      </c>
      <c r="U94" t="b">
        <f t="shared" si="8"/>
        <v>1</v>
      </c>
      <c r="V94" t="b">
        <f t="shared" si="9"/>
        <v>1</v>
      </c>
      <c r="W94" t="b">
        <f t="shared" si="10"/>
        <v>1</v>
      </c>
    </row>
    <row r="95" spans="1:23" x14ac:dyDescent="0.2">
      <c r="A95" t="s">
        <v>129</v>
      </c>
      <c r="B95">
        <v>1</v>
      </c>
      <c r="C95">
        <v>0</v>
      </c>
      <c r="D95">
        <v>0</v>
      </c>
      <c r="E95">
        <v>0</v>
      </c>
      <c r="F95">
        <v>1</v>
      </c>
      <c r="J95" t="s">
        <v>129</v>
      </c>
      <c r="K95">
        <v>1</v>
      </c>
      <c r="L95">
        <v>0</v>
      </c>
      <c r="M95">
        <v>0</v>
      </c>
      <c r="N95">
        <v>0</v>
      </c>
      <c r="O95">
        <v>1</v>
      </c>
      <c r="S95" t="b">
        <f t="shared" si="6"/>
        <v>1</v>
      </c>
      <c r="T95" t="b">
        <f t="shared" si="7"/>
        <v>1</v>
      </c>
      <c r="U95" t="b">
        <f t="shared" si="8"/>
        <v>1</v>
      </c>
      <c r="V95" t="b">
        <f t="shared" si="9"/>
        <v>1</v>
      </c>
      <c r="W95" t="b">
        <f t="shared" si="10"/>
        <v>1</v>
      </c>
    </row>
    <row r="96" spans="1:23" x14ac:dyDescent="0.2">
      <c r="A96" t="s">
        <v>130</v>
      </c>
      <c r="B96">
        <v>1</v>
      </c>
      <c r="C96">
        <v>0</v>
      </c>
      <c r="D96">
        <v>0</v>
      </c>
      <c r="E96">
        <v>1</v>
      </c>
      <c r="F96">
        <v>2</v>
      </c>
      <c r="J96" t="s">
        <v>130</v>
      </c>
      <c r="K96">
        <v>1</v>
      </c>
      <c r="L96">
        <v>0</v>
      </c>
      <c r="M96">
        <v>0</v>
      </c>
      <c r="N96">
        <v>1</v>
      </c>
      <c r="O96">
        <v>2</v>
      </c>
      <c r="S96" t="b">
        <f t="shared" si="6"/>
        <v>1</v>
      </c>
      <c r="T96" t="b">
        <f t="shared" si="7"/>
        <v>1</v>
      </c>
      <c r="U96" t="b">
        <f t="shared" si="8"/>
        <v>1</v>
      </c>
      <c r="V96" t="b">
        <f t="shared" si="9"/>
        <v>1</v>
      </c>
      <c r="W96" t="b">
        <f t="shared" si="10"/>
        <v>1</v>
      </c>
    </row>
    <row r="97" spans="1:23" x14ac:dyDescent="0.2">
      <c r="A97" t="s">
        <v>131</v>
      </c>
      <c r="B97">
        <v>0.5</v>
      </c>
      <c r="C97">
        <v>2</v>
      </c>
      <c r="D97">
        <v>0</v>
      </c>
      <c r="E97">
        <v>1</v>
      </c>
      <c r="F97">
        <v>2</v>
      </c>
      <c r="J97" t="s">
        <v>131</v>
      </c>
      <c r="K97">
        <v>0.5</v>
      </c>
      <c r="L97">
        <v>2</v>
      </c>
      <c r="M97">
        <v>0</v>
      </c>
      <c r="N97">
        <v>1</v>
      </c>
      <c r="O97">
        <v>2</v>
      </c>
      <c r="S97" t="b">
        <f t="shared" si="6"/>
        <v>1</v>
      </c>
      <c r="T97" t="b">
        <f t="shared" si="7"/>
        <v>1</v>
      </c>
      <c r="U97" t="b">
        <f t="shared" si="8"/>
        <v>1</v>
      </c>
      <c r="V97" t="b">
        <f t="shared" si="9"/>
        <v>1</v>
      </c>
      <c r="W97" t="b">
        <f t="shared" si="10"/>
        <v>1</v>
      </c>
    </row>
    <row r="98" spans="1:23" x14ac:dyDescent="0.2">
      <c r="A98" t="s">
        <v>132</v>
      </c>
      <c r="B98">
        <v>0</v>
      </c>
      <c r="C98">
        <v>0</v>
      </c>
      <c r="D98">
        <v>0</v>
      </c>
      <c r="E98">
        <v>1</v>
      </c>
      <c r="F98">
        <v>1</v>
      </c>
      <c r="J98" t="s">
        <v>132</v>
      </c>
      <c r="K98">
        <v>0</v>
      </c>
      <c r="L98">
        <v>0</v>
      </c>
      <c r="M98">
        <v>0</v>
      </c>
      <c r="N98">
        <v>1</v>
      </c>
      <c r="O98">
        <v>1</v>
      </c>
      <c r="S98" t="b">
        <f t="shared" si="6"/>
        <v>1</v>
      </c>
      <c r="T98" t="b">
        <f t="shared" si="7"/>
        <v>1</v>
      </c>
      <c r="U98" t="b">
        <f t="shared" si="8"/>
        <v>1</v>
      </c>
      <c r="V98" t="b">
        <f t="shared" si="9"/>
        <v>1</v>
      </c>
      <c r="W98" t="b">
        <f t="shared" si="10"/>
        <v>1</v>
      </c>
    </row>
    <row r="99" spans="1:23" x14ac:dyDescent="0.2">
      <c r="A99" t="s">
        <v>133</v>
      </c>
      <c r="B99">
        <v>1</v>
      </c>
      <c r="C99">
        <v>1</v>
      </c>
      <c r="D99">
        <v>0</v>
      </c>
      <c r="E99">
        <v>0</v>
      </c>
      <c r="F99">
        <v>1</v>
      </c>
      <c r="J99" t="s">
        <v>133</v>
      </c>
      <c r="K99">
        <v>1</v>
      </c>
      <c r="L99">
        <v>1</v>
      </c>
      <c r="M99">
        <v>0</v>
      </c>
      <c r="N99">
        <v>0</v>
      </c>
      <c r="O99">
        <v>1</v>
      </c>
      <c r="S99" t="b">
        <f t="shared" si="6"/>
        <v>1</v>
      </c>
      <c r="T99" t="b">
        <f t="shared" si="7"/>
        <v>1</v>
      </c>
      <c r="U99" t="b">
        <f t="shared" si="8"/>
        <v>1</v>
      </c>
      <c r="V99" t="b">
        <f t="shared" si="9"/>
        <v>1</v>
      </c>
      <c r="W99" t="b">
        <f t="shared" si="10"/>
        <v>1</v>
      </c>
    </row>
    <row r="100" spans="1:23" x14ac:dyDescent="0.2">
      <c r="A100" t="s">
        <v>135</v>
      </c>
      <c r="B100">
        <v>1</v>
      </c>
      <c r="C100">
        <v>0</v>
      </c>
      <c r="D100">
        <v>1</v>
      </c>
      <c r="E100">
        <v>1</v>
      </c>
      <c r="F100">
        <v>2</v>
      </c>
      <c r="J100" t="s">
        <v>135</v>
      </c>
      <c r="K100">
        <v>1</v>
      </c>
      <c r="L100">
        <v>0</v>
      </c>
      <c r="M100">
        <v>1</v>
      </c>
      <c r="N100">
        <v>1</v>
      </c>
      <c r="O100">
        <v>2</v>
      </c>
      <c r="S100" t="b">
        <f t="shared" si="6"/>
        <v>1</v>
      </c>
      <c r="T100" t="b">
        <f t="shared" si="7"/>
        <v>1</v>
      </c>
      <c r="U100" t="b">
        <f t="shared" si="8"/>
        <v>1</v>
      </c>
      <c r="V100" t="b">
        <f t="shared" si="9"/>
        <v>1</v>
      </c>
      <c r="W100" t="b">
        <f t="shared" si="10"/>
        <v>1</v>
      </c>
    </row>
    <row r="101" spans="1:23" x14ac:dyDescent="0.2">
      <c r="A101" t="s">
        <v>136</v>
      </c>
      <c r="B101">
        <v>0</v>
      </c>
      <c r="C101">
        <v>1</v>
      </c>
      <c r="D101">
        <v>0</v>
      </c>
      <c r="E101">
        <v>1</v>
      </c>
      <c r="F101">
        <v>1</v>
      </c>
      <c r="J101" t="s">
        <v>136</v>
      </c>
      <c r="K101">
        <v>0</v>
      </c>
      <c r="L101">
        <v>1</v>
      </c>
      <c r="M101">
        <v>0</v>
      </c>
      <c r="N101">
        <v>1</v>
      </c>
      <c r="O101">
        <v>1</v>
      </c>
      <c r="S101" t="b">
        <f t="shared" si="6"/>
        <v>1</v>
      </c>
      <c r="T101" t="b">
        <f t="shared" si="7"/>
        <v>1</v>
      </c>
      <c r="U101" t="b">
        <f t="shared" si="8"/>
        <v>1</v>
      </c>
      <c r="V101" t="b">
        <f t="shared" si="9"/>
        <v>1</v>
      </c>
      <c r="W101" t="b">
        <f t="shared" si="10"/>
        <v>1</v>
      </c>
    </row>
    <row r="102" spans="1:23" x14ac:dyDescent="0.2">
      <c r="A102" t="s">
        <v>137</v>
      </c>
      <c r="B102">
        <v>0</v>
      </c>
      <c r="C102">
        <v>1</v>
      </c>
      <c r="D102">
        <v>2</v>
      </c>
      <c r="E102">
        <v>1</v>
      </c>
      <c r="F102">
        <v>1</v>
      </c>
      <c r="J102" t="s">
        <v>137</v>
      </c>
      <c r="K102">
        <v>0</v>
      </c>
      <c r="L102">
        <v>1</v>
      </c>
      <c r="M102">
        <v>2</v>
      </c>
      <c r="N102">
        <v>1</v>
      </c>
      <c r="O102">
        <v>1</v>
      </c>
      <c r="S102" t="b">
        <f t="shared" si="6"/>
        <v>1</v>
      </c>
      <c r="T102" t="b">
        <f t="shared" si="7"/>
        <v>1</v>
      </c>
      <c r="U102" t="b">
        <f t="shared" si="8"/>
        <v>1</v>
      </c>
      <c r="V102" t="b">
        <f t="shared" si="9"/>
        <v>1</v>
      </c>
      <c r="W102" t="b">
        <f t="shared" si="10"/>
        <v>1</v>
      </c>
    </row>
    <row r="103" spans="1:23" x14ac:dyDescent="0.2">
      <c r="A103" t="s">
        <v>138</v>
      </c>
      <c r="B103">
        <v>1</v>
      </c>
      <c r="C103">
        <v>1</v>
      </c>
      <c r="D103">
        <v>1</v>
      </c>
      <c r="E103">
        <v>0</v>
      </c>
      <c r="J103" t="s">
        <v>138</v>
      </c>
      <c r="K103">
        <v>1</v>
      </c>
      <c r="L103">
        <v>1</v>
      </c>
      <c r="M103">
        <v>1</v>
      </c>
      <c r="N103">
        <v>0</v>
      </c>
      <c r="S103" t="b">
        <f t="shared" si="6"/>
        <v>1</v>
      </c>
      <c r="T103" t="b">
        <f t="shared" si="7"/>
        <v>1</v>
      </c>
      <c r="U103" t="b">
        <f t="shared" si="8"/>
        <v>1</v>
      </c>
      <c r="V103" t="b">
        <f t="shared" si="9"/>
        <v>1</v>
      </c>
      <c r="W103" t="b">
        <f t="shared" si="10"/>
        <v>1</v>
      </c>
    </row>
    <row r="104" spans="1:23" x14ac:dyDescent="0.2">
      <c r="A104" t="s">
        <v>139</v>
      </c>
      <c r="B104">
        <v>0</v>
      </c>
      <c r="C104">
        <v>0</v>
      </c>
      <c r="D104">
        <v>0</v>
      </c>
      <c r="E104">
        <v>0</v>
      </c>
      <c r="J104" t="s">
        <v>139</v>
      </c>
      <c r="K104">
        <v>0</v>
      </c>
      <c r="L104">
        <v>0</v>
      </c>
      <c r="M104">
        <v>0</v>
      </c>
      <c r="N104">
        <v>0</v>
      </c>
      <c r="S104" t="b">
        <f t="shared" si="6"/>
        <v>1</v>
      </c>
      <c r="T104" t="b">
        <f t="shared" si="7"/>
        <v>1</v>
      </c>
      <c r="U104" t="b">
        <f t="shared" si="8"/>
        <v>1</v>
      </c>
      <c r="V104" t="b">
        <f t="shared" si="9"/>
        <v>1</v>
      </c>
      <c r="W104" t="b">
        <f t="shared" si="10"/>
        <v>1</v>
      </c>
    </row>
    <row r="105" spans="1:23" x14ac:dyDescent="0.2">
      <c r="A105" t="s">
        <v>140</v>
      </c>
      <c r="B105">
        <v>0</v>
      </c>
      <c r="C105">
        <v>0</v>
      </c>
      <c r="D105">
        <v>0</v>
      </c>
      <c r="E105">
        <v>0</v>
      </c>
      <c r="F105">
        <v>1</v>
      </c>
      <c r="J105" t="s">
        <v>140</v>
      </c>
      <c r="K105">
        <v>0</v>
      </c>
      <c r="L105">
        <v>0</v>
      </c>
      <c r="M105">
        <v>0</v>
      </c>
      <c r="N105">
        <v>0</v>
      </c>
      <c r="O105">
        <v>1</v>
      </c>
      <c r="S105" t="b">
        <f t="shared" si="6"/>
        <v>1</v>
      </c>
      <c r="T105" t="b">
        <f t="shared" si="7"/>
        <v>1</v>
      </c>
      <c r="U105" t="b">
        <f t="shared" si="8"/>
        <v>1</v>
      </c>
      <c r="V105" t="b">
        <f t="shared" si="9"/>
        <v>1</v>
      </c>
      <c r="W105" t="b">
        <f t="shared" si="10"/>
        <v>1</v>
      </c>
    </row>
    <row r="106" spans="1:23" x14ac:dyDescent="0.2">
      <c r="A106" t="s">
        <v>141</v>
      </c>
      <c r="B106">
        <v>0</v>
      </c>
      <c r="C106">
        <v>1</v>
      </c>
      <c r="D106">
        <v>0</v>
      </c>
      <c r="E106">
        <v>0</v>
      </c>
      <c r="J106" t="s">
        <v>141</v>
      </c>
      <c r="K106">
        <v>0</v>
      </c>
      <c r="L106">
        <v>1</v>
      </c>
      <c r="M106">
        <v>0</v>
      </c>
      <c r="N106">
        <v>0</v>
      </c>
      <c r="S106" t="b">
        <f t="shared" si="6"/>
        <v>1</v>
      </c>
      <c r="T106" t="b">
        <f t="shared" si="7"/>
        <v>1</v>
      </c>
      <c r="U106" t="b">
        <f t="shared" si="8"/>
        <v>1</v>
      </c>
      <c r="V106" t="b">
        <f t="shared" si="9"/>
        <v>1</v>
      </c>
      <c r="W106" t="b">
        <f t="shared" si="10"/>
        <v>1</v>
      </c>
    </row>
    <row r="107" spans="1:23" x14ac:dyDescent="0.2">
      <c r="A107" t="s">
        <v>142</v>
      </c>
      <c r="B107">
        <v>1</v>
      </c>
      <c r="C107">
        <v>0</v>
      </c>
      <c r="D107">
        <v>1</v>
      </c>
      <c r="E107">
        <v>1</v>
      </c>
      <c r="F107">
        <v>1</v>
      </c>
      <c r="J107" t="s">
        <v>142</v>
      </c>
      <c r="K107">
        <v>1</v>
      </c>
      <c r="L107">
        <v>0</v>
      </c>
      <c r="M107">
        <v>1</v>
      </c>
      <c r="N107">
        <v>1</v>
      </c>
      <c r="O107">
        <v>1</v>
      </c>
      <c r="S107" t="b">
        <f t="shared" si="6"/>
        <v>1</v>
      </c>
      <c r="T107" t="b">
        <f t="shared" si="7"/>
        <v>1</v>
      </c>
      <c r="U107" t="b">
        <f t="shared" si="8"/>
        <v>1</v>
      </c>
      <c r="V107" t="b">
        <f t="shared" si="9"/>
        <v>1</v>
      </c>
      <c r="W107" t="b">
        <f t="shared" si="10"/>
        <v>1</v>
      </c>
    </row>
    <row r="108" spans="1:23" x14ac:dyDescent="0.2">
      <c r="A108" t="s">
        <v>494</v>
      </c>
      <c r="B108">
        <v>1</v>
      </c>
      <c r="C108">
        <v>0</v>
      </c>
      <c r="D108">
        <v>0</v>
      </c>
      <c r="E108">
        <v>0</v>
      </c>
      <c r="J108" t="s">
        <v>494</v>
      </c>
      <c r="K108">
        <v>1</v>
      </c>
      <c r="L108">
        <v>0</v>
      </c>
      <c r="M108">
        <v>0</v>
      </c>
      <c r="N108">
        <v>0</v>
      </c>
      <c r="S108" t="b">
        <f t="shared" si="6"/>
        <v>1</v>
      </c>
      <c r="T108" t="b">
        <f t="shared" si="7"/>
        <v>1</v>
      </c>
      <c r="U108" t="b">
        <f t="shared" si="8"/>
        <v>1</v>
      </c>
      <c r="V108" t="b">
        <f t="shared" si="9"/>
        <v>1</v>
      </c>
      <c r="W108" t="b">
        <f t="shared" si="10"/>
        <v>1</v>
      </c>
    </row>
    <row r="109" spans="1:23" x14ac:dyDescent="0.2">
      <c r="A109" t="s">
        <v>145</v>
      </c>
      <c r="B109">
        <v>1</v>
      </c>
      <c r="C109">
        <v>1</v>
      </c>
      <c r="D109">
        <v>1</v>
      </c>
      <c r="E109">
        <v>1</v>
      </c>
      <c r="J109" t="s">
        <v>145</v>
      </c>
      <c r="K109">
        <v>1</v>
      </c>
      <c r="L109">
        <v>1</v>
      </c>
      <c r="M109">
        <v>1</v>
      </c>
      <c r="N109">
        <v>1</v>
      </c>
      <c r="S109" t="b">
        <f t="shared" si="6"/>
        <v>1</v>
      </c>
      <c r="T109" t="b">
        <f t="shared" si="7"/>
        <v>1</v>
      </c>
      <c r="U109" t="b">
        <f t="shared" si="8"/>
        <v>1</v>
      </c>
      <c r="V109" t="b">
        <f t="shared" si="9"/>
        <v>1</v>
      </c>
      <c r="W109" t="b">
        <f t="shared" si="10"/>
        <v>1</v>
      </c>
    </row>
    <row r="110" spans="1:23" x14ac:dyDescent="0.2">
      <c r="A110" t="s">
        <v>146</v>
      </c>
      <c r="B110">
        <v>0</v>
      </c>
      <c r="C110">
        <v>1</v>
      </c>
      <c r="D110">
        <v>0</v>
      </c>
      <c r="E110">
        <v>1</v>
      </c>
      <c r="J110" t="s">
        <v>146</v>
      </c>
      <c r="K110">
        <v>0</v>
      </c>
      <c r="L110">
        <v>1</v>
      </c>
      <c r="M110">
        <v>0</v>
      </c>
      <c r="N110">
        <v>1</v>
      </c>
      <c r="S110" t="b">
        <f t="shared" si="6"/>
        <v>1</v>
      </c>
      <c r="T110" t="b">
        <f t="shared" si="7"/>
        <v>1</v>
      </c>
      <c r="U110" t="b">
        <f t="shared" si="8"/>
        <v>1</v>
      </c>
      <c r="V110" t="b">
        <f t="shared" si="9"/>
        <v>1</v>
      </c>
      <c r="W110" t="b">
        <f t="shared" si="10"/>
        <v>1</v>
      </c>
    </row>
    <row r="111" spans="1:23" x14ac:dyDescent="0.2">
      <c r="A111" t="s">
        <v>147</v>
      </c>
      <c r="B111">
        <v>0</v>
      </c>
      <c r="C111">
        <v>0</v>
      </c>
      <c r="D111">
        <v>0</v>
      </c>
      <c r="E111">
        <v>0</v>
      </c>
      <c r="F111">
        <v>1</v>
      </c>
      <c r="J111" t="s">
        <v>147</v>
      </c>
      <c r="K111">
        <v>0</v>
      </c>
      <c r="L111">
        <v>0</v>
      </c>
      <c r="M111">
        <v>0</v>
      </c>
      <c r="N111">
        <v>0</v>
      </c>
      <c r="O111">
        <v>1</v>
      </c>
      <c r="S111" t="b">
        <f t="shared" si="6"/>
        <v>1</v>
      </c>
      <c r="T111" t="b">
        <f t="shared" si="7"/>
        <v>1</v>
      </c>
      <c r="U111" t="b">
        <f t="shared" si="8"/>
        <v>1</v>
      </c>
      <c r="V111" t="b">
        <f t="shared" si="9"/>
        <v>1</v>
      </c>
      <c r="W111" t="b">
        <f t="shared" si="10"/>
        <v>1</v>
      </c>
    </row>
    <row r="112" spans="1:23" x14ac:dyDescent="0.2">
      <c r="A112" t="s">
        <v>148</v>
      </c>
      <c r="B112">
        <v>1</v>
      </c>
      <c r="C112">
        <v>0</v>
      </c>
      <c r="D112">
        <v>0</v>
      </c>
      <c r="E112">
        <v>1</v>
      </c>
      <c r="J112" t="s">
        <v>148</v>
      </c>
      <c r="K112">
        <v>1</v>
      </c>
      <c r="L112">
        <v>0</v>
      </c>
      <c r="M112">
        <v>0</v>
      </c>
      <c r="N112">
        <v>1</v>
      </c>
      <c r="S112" t="b">
        <f t="shared" si="6"/>
        <v>1</v>
      </c>
      <c r="T112" t="b">
        <f t="shared" si="7"/>
        <v>1</v>
      </c>
      <c r="U112" t="b">
        <f t="shared" si="8"/>
        <v>1</v>
      </c>
      <c r="V112" t="b">
        <f t="shared" si="9"/>
        <v>1</v>
      </c>
      <c r="W112" t="b">
        <f t="shared" si="10"/>
        <v>1</v>
      </c>
    </row>
    <row r="113" spans="1:23" x14ac:dyDescent="0.2">
      <c r="A113" t="s">
        <v>149</v>
      </c>
      <c r="B113">
        <v>0</v>
      </c>
      <c r="C113">
        <v>0</v>
      </c>
      <c r="D113">
        <v>0</v>
      </c>
      <c r="E113">
        <v>0</v>
      </c>
      <c r="F113">
        <v>1</v>
      </c>
      <c r="J113" t="s">
        <v>149</v>
      </c>
      <c r="K113">
        <v>0</v>
      </c>
      <c r="L113">
        <v>0</v>
      </c>
      <c r="M113">
        <v>0</v>
      </c>
      <c r="N113">
        <v>0</v>
      </c>
      <c r="O113">
        <v>1</v>
      </c>
      <c r="S113" t="b">
        <f t="shared" si="6"/>
        <v>1</v>
      </c>
      <c r="T113" t="b">
        <f t="shared" si="7"/>
        <v>1</v>
      </c>
      <c r="U113" t="b">
        <f t="shared" si="8"/>
        <v>1</v>
      </c>
      <c r="V113" t="b">
        <f t="shared" si="9"/>
        <v>1</v>
      </c>
      <c r="W113" t="b">
        <f t="shared" si="10"/>
        <v>1</v>
      </c>
    </row>
    <row r="114" spans="1:23" x14ac:dyDescent="0.2">
      <c r="A114" t="s">
        <v>150</v>
      </c>
      <c r="B114">
        <v>1</v>
      </c>
      <c r="C114">
        <v>0</v>
      </c>
      <c r="D114">
        <v>0</v>
      </c>
      <c r="E114">
        <v>1</v>
      </c>
      <c r="J114" t="s">
        <v>150</v>
      </c>
      <c r="K114">
        <v>1</v>
      </c>
      <c r="L114">
        <v>0</v>
      </c>
      <c r="M114">
        <v>0</v>
      </c>
      <c r="N114">
        <v>1</v>
      </c>
      <c r="S114" t="b">
        <f t="shared" si="6"/>
        <v>1</v>
      </c>
      <c r="T114" t="b">
        <f t="shared" si="7"/>
        <v>1</v>
      </c>
      <c r="U114" t="b">
        <f t="shared" si="8"/>
        <v>1</v>
      </c>
      <c r="V114" t="b">
        <f t="shared" si="9"/>
        <v>1</v>
      </c>
      <c r="W114" t="b">
        <f t="shared" si="10"/>
        <v>1</v>
      </c>
    </row>
    <row r="115" spans="1:23" x14ac:dyDescent="0.2">
      <c r="A115" t="s">
        <v>151</v>
      </c>
      <c r="B115">
        <v>1</v>
      </c>
      <c r="C115">
        <v>1</v>
      </c>
      <c r="D115">
        <v>1</v>
      </c>
      <c r="E115">
        <v>1</v>
      </c>
      <c r="F115">
        <v>1</v>
      </c>
      <c r="J115" t="s">
        <v>151</v>
      </c>
      <c r="K115">
        <v>1</v>
      </c>
      <c r="L115">
        <v>1</v>
      </c>
      <c r="M115">
        <v>1</v>
      </c>
      <c r="N115">
        <v>1</v>
      </c>
      <c r="O115">
        <v>1</v>
      </c>
      <c r="S115" t="b">
        <f t="shared" si="6"/>
        <v>1</v>
      </c>
      <c r="T115" t="b">
        <f t="shared" si="7"/>
        <v>1</v>
      </c>
      <c r="U115" t="b">
        <f t="shared" si="8"/>
        <v>1</v>
      </c>
      <c r="V115" t="b">
        <f t="shared" si="9"/>
        <v>1</v>
      </c>
      <c r="W115" t="b">
        <f t="shared" si="10"/>
        <v>1</v>
      </c>
    </row>
    <row r="116" spans="1:23" x14ac:dyDescent="0.2">
      <c r="A116" t="s">
        <v>152</v>
      </c>
      <c r="B116">
        <v>1</v>
      </c>
      <c r="C116">
        <v>0</v>
      </c>
      <c r="D116">
        <v>0</v>
      </c>
      <c r="E116">
        <v>0</v>
      </c>
      <c r="F116">
        <v>1</v>
      </c>
      <c r="J116" t="s">
        <v>152</v>
      </c>
      <c r="K116">
        <v>1</v>
      </c>
      <c r="L116">
        <v>0</v>
      </c>
      <c r="M116">
        <v>0</v>
      </c>
      <c r="N116">
        <v>0</v>
      </c>
      <c r="O116">
        <v>1</v>
      </c>
      <c r="S116" t="b">
        <f t="shared" si="6"/>
        <v>1</v>
      </c>
      <c r="T116" t="b">
        <f t="shared" si="7"/>
        <v>1</v>
      </c>
      <c r="U116" t="b">
        <f t="shared" si="8"/>
        <v>1</v>
      </c>
      <c r="V116" t="b">
        <f t="shared" si="9"/>
        <v>1</v>
      </c>
      <c r="W116" t="b">
        <f t="shared" si="10"/>
        <v>1</v>
      </c>
    </row>
    <row r="117" spans="1:23" x14ac:dyDescent="0.2">
      <c r="A117" t="s">
        <v>153</v>
      </c>
      <c r="B117">
        <v>0</v>
      </c>
      <c r="C117">
        <v>1</v>
      </c>
      <c r="D117">
        <v>0</v>
      </c>
      <c r="E117">
        <v>1</v>
      </c>
      <c r="J117" t="s">
        <v>153</v>
      </c>
      <c r="K117">
        <v>0</v>
      </c>
      <c r="L117">
        <v>1</v>
      </c>
      <c r="M117">
        <v>0</v>
      </c>
      <c r="N117">
        <v>1</v>
      </c>
      <c r="S117" t="b">
        <f t="shared" si="6"/>
        <v>1</v>
      </c>
      <c r="T117" t="b">
        <f t="shared" si="7"/>
        <v>1</v>
      </c>
      <c r="U117" t="b">
        <f t="shared" si="8"/>
        <v>1</v>
      </c>
      <c r="V117" t="b">
        <f t="shared" si="9"/>
        <v>1</v>
      </c>
      <c r="W117" t="b">
        <f t="shared" si="10"/>
        <v>1</v>
      </c>
    </row>
    <row r="118" spans="1:23" x14ac:dyDescent="0.2">
      <c r="A118" t="s">
        <v>154</v>
      </c>
      <c r="C118">
        <v>0</v>
      </c>
      <c r="D118">
        <v>0</v>
      </c>
      <c r="E118">
        <v>0</v>
      </c>
      <c r="F118">
        <v>1</v>
      </c>
      <c r="J118" t="s">
        <v>154</v>
      </c>
      <c r="O118">
        <v>1</v>
      </c>
      <c r="S118" t="b">
        <f t="shared" si="6"/>
        <v>1</v>
      </c>
      <c r="T118" t="b">
        <f t="shared" si="7"/>
        <v>1</v>
      </c>
      <c r="U118" t="b">
        <f t="shared" si="8"/>
        <v>1</v>
      </c>
      <c r="V118" t="b">
        <f t="shared" si="9"/>
        <v>1</v>
      </c>
      <c r="W118" t="b">
        <f t="shared" si="10"/>
        <v>1</v>
      </c>
    </row>
    <row r="119" spans="1:23" x14ac:dyDescent="0.2">
      <c r="A119" t="s">
        <v>155</v>
      </c>
      <c r="B119">
        <v>0</v>
      </c>
      <c r="C119">
        <v>0</v>
      </c>
      <c r="D119">
        <v>0</v>
      </c>
      <c r="E119">
        <v>0</v>
      </c>
      <c r="F119">
        <v>1</v>
      </c>
      <c r="J119" t="s">
        <v>155</v>
      </c>
      <c r="K119">
        <v>0</v>
      </c>
      <c r="L119">
        <v>0</v>
      </c>
      <c r="M119">
        <v>0</v>
      </c>
      <c r="N119">
        <v>0</v>
      </c>
      <c r="O119">
        <v>1</v>
      </c>
      <c r="S119" t="b">
        <f t="shared" si="6"/>
        <v>1</v>
      </c>
      <c r="T119" t="b">
        <f t="shared" si="7"/>
        <v>1</v>
      </c>
      <c r="U119" t="b">
        <f t="shared" si="8"/>
        <v>1</v>
      </c>
      <c r="V119" t="b">
        <f t="shared" si="9"/>
        <v>1</v>
      </c>
      <c r="W119" t="b">
        <f t="shared" si="10"/>
        <v>1</v>
      </c>
    </row>
    <row r="120" spans="1:23" x14ac:dyDescent="0.2">
      <c r="A120" t="s">
        <v>156</v>
      </c>
      <c r="B120">
        <v>0</v>
      </c>
      <c r="C120">
        <v>0</v>
      </c>
      <c r="D120">
        <v>0</v>
      </c>
      <c r="E120">
        <v>0</v>
      </c>
      <c r="F120">
        <v>1</v>
      </c>
      <c r="J120" t="s">
        <v>156</v>
      </c>
      <c r="K120">
        <v>0</v>
      </c>
      <c r="L120">
        <v>0</v>
      </c>
      <c r="M120">
        <v>0</v>
      </c>
      <c r="N120">
        <v>0</v>
      </c>
      <c r="O120">
        <v>1</v>
      </c>
      <c r="S120" t="b">
        <f t="shared" si="6"/>
        <v>1</v>
      </c>
      <c r="T120" t="b">
        <f t="shared" si="7"/>
        <v>1</v>
      </c>
      <c r="U120" t="b">
        <f t="shared" si="8"/>
        <v>1</v>
      </c>
      <c r="V120" t="b">
        <f t="shared" si="9"/>
        <v>1</v>
      </c>
      <c r="W120" t="b">
        <f t="shared" si="10"/>
        <v>1</v>
      </c>
    </row>
    <row r="121" spans="1:23" x14ac:dyDescent="0.2">
      <c r="A121" t="s">
        <v>195</v>
      </c>
      <c r="B121">
        <v>1</v>
      </c>
      <c r="C121">
        <v>0</v>
      </c>
      <c r="D121">
        <v>0</v>
      </c>
      <c r="E121">
        <v>0</v>
      </c>
      <c r="J121" t="s">
        <v>195</v>
      </c>
      <c r="K121">
        <v>1</v>
      </c>
      <c r="L121">
        <v>0</v>
      </c>
      <c r="M121">
        <v>0</v>
      </c>
      <c r="N121">
        <v>0</v>
      </c>
      <c r="S121" t="b">
        <f t="shared" si="6"/>
        <v>1</v>
      </c>
      <c r="T121" t="b">
        <f t="shared" si="7"/>
        <v>1</v>
      </c>
      <c r="U121" t="b">
        <f t="shared" si="8"/>
        <v>1</v>
      </c>
      <c r="V121" t="b">
        <f t="shared" si="9"/>
        <v>1</v>
      </c>
      <c r="W121" t="b">
        <f t="shared" si="10"/>
        <v>1</v>
      </c>
    </row>
    <row r="122" spans="1:23" x14ac:dyDescent="0.2">
      <c r="A122" t="s">
        <v>157</v>
      </c>
      <c r="B122">
        <v>1</v>
      </c>
      <c r="C122">
        <v>0</v>
      </c>
      <c r="D122">
        <v>0</v>
      </c>
      <c r="E122">
        <v>0</v>
      </c>
      <c r="F122">
        <v>1</v>
      </c>
      <c r="J122" t="s">
        <v>157</v>
      </c>
      <c r="K122">
        <v>1</v>
      </c>
      <c r="L122">
        <v>0</v>
      </c>
      <c r="M122">
        <v>0</v>
      </c>
      <c r="N122">
        <v>0</v>
      </c>
      <c r="O122">
        <v>1</v>
      </c>
      <c r="S122" t="b">
        <f t="shared" si="6"/>
        <v>1</v>
      </c>
      <c r="T122" t="b">
        <f t="shared" si="7"/>
        <v>1</v>
      </c>
      <c r="U122" t="b">
        <f t="shared" si="8"/>
        <v>1</v>
      </c>
      <c r="V122" t="b">
        <f t="shared" si="9"/>
        <v>1</v>
      </c>
      <c r="W122" t="b">
        <f t="shared" si="10"/>
        <v>1</v>
      </c>
    </row>
    <row r="123" spans="1:23" x14ac:dyDescent="0.2">
      <c r="A123" t="s">
        <v>158</v>
      </c>
      <c r="B123">
        <v>0</v>
      </c>
      <c r="C123">
        <v>0</v>
      </c>
      <c r="D123">
        <v>0</v>
      </c>
      <c r="E123">
        <v>0</v>
      </c>
      <c r="J123" t="s">
        <v>158</v>
      </c>
      <c r="K123">
        <v>0</v>
      </c>
      <c r="L123">
        <v>0</v>
      </c>
      <c r="M123">
        <v>0</v>
      </c>
      <c r="N123">
        <v>0</v>
      </c>
      <c r="S123" t="b">
        <f t="shared" si="6"/>
        <v>1</v>
      </c>
      <c r="T123" t="b">
        <f t="shared" si="7"/>
        <v>1</v>
      </c>
      <c r="U123" t="b">
        <f t="shared" si="8"/>
        <v>1</v>
      </c>
      <c r="V123" t="b">
        <f t="shared" si="9"/>
        <v>1</v>
      </c>
      <c r="W123" t="b">
        <f t="shared" si="10"/>
        <v>1</v>
      </c>
    </row>
    <row r="124" spans="1:23" x14ac:dyDescent="0.2">
      <c r="A124" t="s">
        <v>159</v>
      </c>
      <c r="B124">
        <v>0</v>
      </c>
      <c r="C124">
        <v>0</v>
      </c>
      <c r="D124">
        <v>0</v>
      </c>
      <c r="E124">
        <v>0</v>
      </c>
      <c r="F124">
        <v>1</v>
      </c>
      <c r="J124" t="s">
        <v>159</v>
      </c>
      <c r="K124">
        <v>0</v>
      </c>
      <c r="L124">
        <v>0</v>
      </c>
      <c r="M124">
        <v>0</v>
      </c>
      <c r="N124">
        <v>0</v>
      </c>
      <c r="O124">
        <v>1</v>
      </c>
      <c r="S124" t="b">
        <f t="shared" si="6"/>
        <v>1</v>
      </c>
      <c r="T124" t="b">
        <f t="shared" si="7"/>
        <v>1</v>
      </c>
      <c r="U124" t="b">
        <f t="shared" si="8"/>
        <v>1</v>
      </c>
      <c r="V124" t="b">
        <f t="shared" si="9"/>
        <v>1</v>
      </c>
      <c r="W124" t="b">
        <f t="shared" si="10"/>
        <v>1</v>
      </c>
    </row>
    <row r="125" spans="1:23" x14ac:dyDescent="0.2">
      <c r="A125" t="s">
        <v>160</v>
      </c>
      <c r="B125">
        <v>1</v>
      </c>
      <c r="C125">
        <v>0</v>
      </c>
      <c r="D125">
        <v>1</v>
      </c>
      <c r="E125">
        <v>0</v>
      </c>
      <c r="J125" t="s">
        <v>160</v>
      </c>
      <c r="K125">
        <v>1</v>
      </c>
      <c r="L125">
        <v>0</v>
      </c>
      <c r="M125">
        <v>1</v>
      </c>
      <c r="N125">
        <v>0</v>
      </c>
      <c r="S125" t="b">
        <f t="shared" si="6"/>
        <v>1</v>
      </c>
      <c r="T125" t="b">
        <f t="shared" si="7"/>
        <v>1</v>
      </c>
      <c r="U125" t="b">
        <f t="shared" si="8"/>
        <v>1</v>
      </c>
      <c r="V125" t="b">
        <f t="shared" si="9"/>
        <v>1</v>
      </c>
      <c r="W125" t="b">
        <f t="shared" si="10"/>
        <v>1</v>
      </c>
    </row>
    <row r="126" spans="1:23" x14ac:dyDescent="0.2">
      <c r="A126" t="s">
        <v>161</v>
      </c>
      <c r="B126">
        <v>0</v>
      </c>
      <c r="C126">
        <v>0</v>
      </c>
      <c r="D126">
        <v>0</v>
      </c>
      <c r="E126">
        <v>0</v>
      </c>
      <c r="F126">
        <v>2</v>
      </c>
      <c r="J126" t="s">
        <v>161</v>
      </c>
      <c r="K126">
        <v>0</v>
      </c>
      <c r="L126">
        <v>0</v>
      </c>
      <c r="M126">
        <v>0</v>
      </c>
      <c r="N126">
        <v>0</v>
      </c>
      <c r="O126">
        <v>2</v>
      </c>
      <c r="S126" t="b">
        <f t="shared" si="6"/>
        <v>1</v>
      </c>
      <c r="T126" t="b">
        <f t="shared" si="7"/>
        <v>1</v>
      </c>
      <c r="U126" t="b">
        <f t="shared" si="8"/>
        <v>1</v>
      </c>
      <c r="V126" t="b">
        <f t="shared" si="9"/>
        <v>1</v>
      </c>
      <c r="W126" t="b">
        <f t="shared" si="10"/>
        <v>1</v>
      </c>
    </row>
    <row r="127" spans="1:23" x14ac:dyDescent="0.2">
      <c r="A127" t="s">
        <v>162</v>
      </c>
      <c r="B127">
        <v>1</v>
      </c>
      <c r="C127">
        <v>0</v>
      </c>
      <c r="D127">
        <v>0</v>
      </c>
      <c r="E127">
        <v>1</v>
      </c>
      <c r="J127" t="s">
        <v>162</v>
      </c>
      <c r="K127">
        <v>1</v>
      </c>
      <c r="L127">
        <v>0</v>
      </c>
      <c r="M127">
        <v>0</v>
      </c>
      <c r="N127">
        <v>1</v>
      </c>
      <c r="S127" t="b">
        <f t="shared" si="6"/>
        <v>1</v>
      </c>
      <c r="T127" t="b">
        <f t="shared" si="7"/>
        <v>1</v>
      </c>
      <c r="U127" t="b">
        <f t="shared" si="8"/>
        <v>1</v>
      </c>
      <c r="V127" t="b">
        <f t="shared" si="9"/>
        <v>1</v>
      </c>
      <c r="W127" t="b">
        <f t="shared" si="10"/>
        <v>1</v>
      </c>
    </row>
    <row r="128" spans="1:23" x14ac:dyDescent="0.2">
      <c r="A128" t="s">
        <v>163</v>
      </c>
      <c r="B128">
        <v>0</v>
      </c>
      <c r="C128">
        <v>1</v>
      </c>
      <c r="D128">
        <v>0</v>
      </c>
      <c r="E128">
        <v>1</v>
      </c>
      <c r="J128" t="s">
        <v>163</v>
      </c>
      <c r="K128">
        <v>0</v>
      </c>
      <c r="L128">
        <v>1</v>
      </c>
      <c r="M128">
        <v>0</v>
      </c>
      <c r="N128">
        <v>1</v>
      </c>
      <c r="S128" t="b">
        <f t="shared" si="6"/>
        <v>1</v>
      </c>
      <c r="T128" t="b">
        <f t="shared" si="7"/>
        <v>1</v>
      </c>
      <c r="U128" t="b">
        <f t="shared" si="8"/>
        <v>1</v>
      </c>
      <c r="V128" t="b">
        <f t="shared" si="9"/>
        <v>1</v>
      </c>
      <c r="W128" t="b">
        <f t="shared" si="10"/>
        <v>1</v>
      </c>
    </row>
    <row r="129" spans="1:23" x14ac:dyDescent="0.2">
      <c r="A129" t="s">
        <v>164</v>
      </c>
      <c r="B129">
        <v>0</v>
      </c>
      <c r="C129">
        <v>0</v>
      </c>
      <c r="D129">
        <v>0</v>
      </c>
      <c r="E129">
        <v>0</v>
      </c>
      <c r="F129">
        <v>1</v>
      </c>
      <c r="J129" t="s">
        <v>164</v>
      </c>
      <c r="K129">
        <v>0</v>
      </c>
      <c r="L129">
        <v>0</v>
      </c>
      <c r="M129">
        <v>0</v>
      </c>
      <c r="N129">
        <v>0</v>
      </c>
      <c r="O129">
        <v>1</v>
      </c>
      <c r="S129" t="b">
        <f t="shared" si="6"/>
        <v>1</v>
      </c>
      <c r="T129" t="b">
        <f t="shared" si="7"/>
        <v>1</v>
      </c>
      <c r="U129" t="b">
        <f t="shared" si="8"/>
        <v>1</v>
      </c>
      <c r="V129" t="b">
        <f t="shared" si="9"/>
        <v>1</v>
      </c>
      <c r="W129" t="b">
        <f t="shared" si="10"/>
        <v>1</v>
      </c>
    </row>
    <row r="130" spans="1:23" x14ac:dyDescent="0.2">
      <c r="A130" t="s">
        <v>495</v>
      </c>
      <c r="B130">
        <v>1</v>
      </c>
      <c r="C130">
        <v>1</v>
      </c>
      <c r="D130">
        <v>0</v>
      </c>
      <c r="E130">
        <v>0</v>
      </c>
      <c r="J130" t="s">
        <v>495</v>
      </c>
      <c r="K130">
        <v>1</v>
      </c>
      <c r="L130">
        <v>1</v>
      </c>
      <c r="M130">
        <v>0</v>
      </c>
      <c r="N130">
        <v>0</v>
      </c>
      <c r="S130" t="b">
        <f t="shared" si="6"/>
        <v>1</v>
      </c>
      <c r="T130" t="b">
        <f t="shared" si="7"/>
        <v>1</v>
      </c>
      <c r="U130" t="b">
        <f t="shared" si="8"/>
        <v>1</v>
      </c>
      <c r="V130" t="b">
        <f t="shared" si="9"/>
        <v>1</v>
      </c>
      <c r="W130" t="b">
        <f t="shared" si="10"/>
        <v>1</v>
      </c>
    </row>
    <row r="131" spans="1:23" x14ac:dyDescent="0.2">
      <c r="A131" t="s">
        <v>166</v>
      </c>
      <c r="B131">
        <v>0</v>
      </c>
      <c r="C131">
        <v>0</v>
      </c>
      <c r="D131">
        <v>0</v>
      </c>
      <c r="E131">
        <v>0</v>
      </c>
      <c r="J131" t="s">
        <v>166</v>
      </c>
      <c r="K131">
        <v>0</v>
      </c>
      <c r="L131">
        <v>0</v>
      </c>
      <c r="M131">
        <v>0</v>
      </c>
      <c r="N131">
        <v>0</v>
      </c>
      <c r="S131" t="b">
        <f t="shared" si="6"/>
        <v>1</v>
      </c>
      <c r="T131" t="b">
        <f t="shared" si="7"/>
        <v>1</v>
      </c>
      <c r="U131" t="b">
        <f t="shared" si="8"/>
        <v>1</v>
      </c>
      <c r="V131" t="b">
        <f t="shared" si="9"/>
        <v>1</v>
      </c>
      <c r="W131" t="b">
        <f t="shared" si="10"/>
        <v>1</v>
      </c>
    </row>
    <row r="132" spans="1:23" x14ac:dyDescent="0.2">
      <c r="A132" t="s">
        <v>167</v>
      </c>
      <c r="B132">
        <v>0</v>
      </c>
      <c r="C132">
        <v>0</v>
      </c>
      <c r="D132">
        <v>0</v>
      </c>
      <c r="E132">
        <v>0</v>
      </c>
      <c r="F132">
        <v>1</v>
      </c>
      <c r="J132" t="s">
        <v>167</v>
      </c>
      <c r="K132">
        <v>0</v>
      </c>
      <c r="L132">
        <v>0</v>
      </c>
      <c r="M132">
        <v>0</v>
      </c>
      <c r="N132">
        <v>0</v>
      </c>
      <c r="O132">
        <v>1</v>
      </c>
      <c r="S132" t="b">
        <f t="shared" ref="S132:S151" si="11">B132=K132</f>
        <v>1</v>
      </c>
      <c r="T132" t="b">
        <f t="shared" ref="T132:T151" si="12">C132=L132</f>
        <v>1</v>
      </c>
      <c r="U132" t="b">
        <f t="shared" ref="U132:U151" si="13">D132=M132</f>
        <v>1</v>
      </c>
      <c r="V132" t="b">
        <f t="shared" ref="V132:V151" si="14">E132=N132</f>
        <v>1</v>
      </c>
      <c r="W132" t="b">
        <f t="shared" ref="W132:W151" si="15">F132=O132</f>
        <v>1</v>
      </c>
    </row>
    <row r="133" spans="1:23" x14ac:dyDescent="0.2">
      <c r="A133" t="s">
        <v>168</v>
      </c>
      <c r="B133">
        <v>1</v>
      </c>
      <c r="C133">
        <v>0</v>
      </c>
      <c r="D133">
        <v>0</v>
      </c>
      <c r="E133">
        <v>0</v>
      </c>
      <c r="F133">
        <v>1</v>
      </c>
      <c r="J133" t="s">
        <v>168</v>
      </c>
      <c r="K133">
        <v>1</v>
      </c>
      <c r="L133">
        <v>0</v>
      </c>
      <c r="M133">
        <v>0</v>
      </c>
      <c r="N133">
        <v>0</v>
      </c>
      <c r="O133">
        <v>1</v>
      </c>
      <c r="S133" t="b">
        <f t="shared" si="11"/>
        <v>1</v>
      </c>
      <c r="T133" t="b">
        <f t="shared" si="12"/>
        <v>1</v>
      </c>
      <c r="U133" t="b">
        <f t="shared" si="13"/>
        <v>1</v>
      </c>
      <c r="V133" t="b">
        <f t="shared" si="14"/>
        <v>1</v>
      </c>
      <c r="W133" t="b">
        <f t="shared" si="15"/>
        <v>1</v>
      </c>
    </row>
    <row r="134" spans="1:23" x14ac:dyDescent="0.2">
      <c r="A134" t="s">
        <v>169</v>
      </c>
      <c r="B134">
        <v>1</v>
      </c>
      <c r="C134">
        <v>1</v>
      </c>
      <c r="D134">
        <v>0</v>
      </c>
      <c r="E134">
        <v>0</v>
      </c>
      <c r="J134" t="s">
        <v>169</v>
      </c>
      <c r="K134">
        <v>1</v>
      </c>
      <c r="L134">
        <v>1</v>
      </c>
      <c r="M134">
        <v>0</v>
      </c>
      <c r="N134">
        <v>0</v>
      </c>
      <c r="S134" t="b">
        <f t="shared" si="11"/>
        <v>1</v>
      </c>
      <c r="T134" t="b">
        <f t="shared" si="12"/>
        <v>1</v>
      </c>
      <c r="U134" t="b">
        <f t="shared" si="13"/>
        <v>1</v>
      </c>
      <c r="V134" t="b">
        <f t="shared" si="14"/>
        <v>1</v>
      </c>
      <c r="W134" t="b">
        <f t="shared" si="15"/>
        <v>1</v>
      </c>
    </row>
    <row r="135" spans="1:23" x14ac:dyDescent="0.2">
      <c r="A135" t="s">
        <v>170</v>
      </c>
      <c r="C135">
        <v>0</v>
      </c>
      <c r="D135">
        <v>0</v>
      </c>
      <c r="E135">
        <v>0</v>
      </c>
      <c r="F135">
        <v>0</v>
      </c>
      <c r="J135" t="s">
        <v>170</v>
      </c>
      <c r="S135" t="b">
        <f t="shared" si="11"/>
        <v>1</v>
      </c>
      <c r="T135" t="b">
        <f t="shared" si="12"/>
        <v>1</v>
      </c>
      <c r="U135" t="b">
        <f t="shared" si="13"/>
        <v>1</v>
      </c>
      <c r="V135" t="b">
        <f t="shared" si="14"/>
        <v>1</v>
      </c>
      <c r="W135" t="b">
        <f t="shared" si="15"/>
        <v>1</v>
      </c>
    </row>
    <row r="136" spans="1:23" x14ac:dyDescent="0.2">
      <c r="A136" t="s">
        <v>171</v>
      </c>
      <c r="B136">
        <v>0</v>
      </c>
      <c r="C136">
        <v>0</v>
      </c>
      <c r="D136">
        <v>1</v>
      </c>
      <c r="E136">
        <v>0</v>
      </c>
      <c r="J136" t="s">
        <v>171</v>
      </c>
      <c r="K136">
        <v>0</v>
      </c>
      <c r="L136">
        <v>0</v>
      </c>
      <c r="M136">
        <v>1</v>
      </c>
      <c r="N136">
        <v>0</v>
      </c>
      <c r="S136" t="b">
        <f t="shared" si="11"/>
        <v>1</v>
      </c>
      <c r="T136" t="b">
        <f t="shared" si="12"/>
        <v>1</v>
      </c>
      <c r="U136" t="b">
        <f t="shared" si="13"/>
        <v>1</v>
      </c>
      <c r="V136" t="b">
        <f t="shared" si="14"/>
        <v>1</v>
      </c>
      <c r="W136" t="b">
        <f t="shared" si="15"/>
        <v>1</v>
      </c>
    </row>
    <row r="137" spans="1:23" x14ac:dyDescent="0.2">
      <c r="A137" t="s">
        <v>172</v>
      </c>
      <c r="B137">
        <v>1</v>
      </c>
      <c r="C137">
        <v>0</v>
      </c>
      <c r="D137">
        <v>1</v>
      </c>
      <c r="E137">
        <v>1</v>
      </c>
      <c r="F137">
        <v>1</v>
      </c>
      <c r="J137" t="s">
        <v>172</v>
      </c>
      <c r="K137">
        <v>1</v>
      </c>
      <c r="L137">
        <v>0</v>
      </c>
      <c r="M137">
        <v>1</v>
      </c>
      <c r="N137">
        <v>1</v>
      </c>
      <c r="O137">
        <v>1</v>
      </c>
      <c r="S137" t="b">
        <f t="shared" si="11"/>
        <v>1</v>
      </c>
      <c r="T137" t="b">
        <f t="shared" si="12"/>
        <v>1</v>
      </c>
      <c r="U137" t="b">
        <f t="shared" si="13"/>
        <v>1</v>
      </c>
      <c r="V137" t="b">
        <f t="shared" si="14"/>
        <v>1</v>
      </c>
      <c r="W137" t="b">
        <f t="shared" si="15"/>
        <v>1</v>
      </c>
    </row>
    <row r="138" spans="1:23" x14ac:dyDescent="0.2">
      <c r="A138" t="s">
        <v>173</v>
      </c>
      <c r="B138">
        <v>1</v>
      </c>
      <c r="C138">
        <v>1</v>
      </c>
      <c r="D138">
        <v>0</v>
      </c>
      <c r="E138">
        <v>1</v>
      </c>
      <c r="J138" t="s">
        <v>173</v>
      </c>
      <c r="K138">
        <v>1</v>
      </c>
      <c r="L138">
        <v>1</v>
      </c>
      <c r="M138">
        <v>0</v>
      </c>
      <c r="N138">
        <v>1</v>
      </c>
      <c r="S138" t="b">
        <f t="shared" si="11"/>
        <v>1</v>
      </c>
      <c r="T138" t="b">
        <f t="shared" si="12"/>
        <v>1</v>
      </c>
      <c r="U138" t="b">
        <f t="shared" si="13"/>
        <v>1</v>
      </c>
      <c r="V138" t="b">
        <f t="shared" si="14"/>
        <v>1</v>
      </c>
      <c r="W138" t="b">
        <f t="shared" si="15"/>
        <v>1</v>
      </c>
    </row>
    <row r="139" spans="1:23" x14ac:dyDescent="0.2">
      <c r="A139" t="s">
        <v>174</v>
      </c>
      <c r="B139">
        <v>1</v>
      </c>
      <c r="C139">
        <v>1</v>
      </c>
      <c r="D139">
        <v>1</v>
      </c>
      <c r="E139">
        <v>1</v>
      </c>
      <c r="F139">
        <v>1</v>
      </c>
      <c r="J139" t="s">
        <v>174</v>
      </c>
      <c r="K139">
        <v>1</v>
      </c>
      <c r="L139">
        <v>1</v>
      </c>
      <c r="M139">
        <v>1</v>
      </c>
      <c r="N139">
        <v>1</v>
      </c>
      <c r="O139">
        <v>1</v>
      </c>
      <c r="S139" t="b">
        <f t="shared" si="11"/>
        <v>1</v>
      </c>
      <c r="T139" t="b">
        <f t="shared" si="12"/>
        <v>1</v>
      </c>
      <c r="U139" t="b">
        <f t="shared" si="13"/>
        <v>1</v>
      </c>
      <c r="V139" t="b">
        <f t="shared" si="14"/>
        <v>1</v>
      </c>
      <c r="W139" t="b">
        <f t="shared" si="15"/>
        <v>1</v>
      </c>
    </row>
    <row r="140" spans="1:23" x14ac:dyDescent="0.2">
      <c r="A140" t="s">
        <v>175</v>
      </c>
      <c r="B140">
        <v>1</v>
      </c>
      <c r="C140">
        <v>0</v>
      </c>
      <c r="D140">
        <v>0</v>
      </c>
      <c r="E140">
        <v>0</v>
      </c>
      <c r="F140">
        <v>1</v>
      </c>
      <c r="J140" t="s">
        <v>175</v>
      </c>
      <c r="K140">
        <v>1</v>
      </c>
      <c r="L140">
        <v>0</v>
      </c>
      <c r="M140">
        <v>0</v>
      </c>
      <c r="N140">
        <v>0</v>
      </c>
      <c r="O140">
        <v>1</v>
      </c>
      <c r="S140" t="b">
        <f t="shared" si="11"/>
        <v>1</v>
      </c>
      <c r="T140" t="b">
        <f t="shared" si="12"/>
        <v>1</v>
      </c>
      <c r="U140" t="b">
        <f t="shared" si="13"/>
        <v>1</v>
      </c>
      <c r="V140" t="b">
        <f t="shared" si="14"/>
        <v>1</v>
      </c>
      <c r="W140" t="b">
        <f t="shared" si="15"/>
        <v>1</v>
      </c>
    </row>
    <row r="141" spans="1:23" x14ac:dyDescent="0.2">
      <c r="A141" t="s">
        <v>176</v>
      </c>
      <c r="B141">
        <v>0</v>
      </c>
      <c r="C141">
        <v>0</v>
      </c>
      <c r="D141">
        <v>0</v>
      </c>
      <c r="E141">
        <v>0</v>
      </c>
      <c r="J141" t="s">
        <v>176</v>
      </c>
      <c r="K141">
        <v>0</v>
      </c>
      <c r="L141">
        <v>0</v>
      </c>
      <c r="M141">
        <v>0</v>
      </c>
      <c r="N141">
        <v>0</v>
      </c>
      <c r="S141" t="b">
        <f t="shared" si="11"/>
        <v>1</v>
      </c>
      <c r="T141" t="b">
        <f t="shared" si="12"/>
        <v>1</v>
      </c>
      <c r="U141" t="b">
        <f t="shared" si="13"/>
        <v>1</v>
      </c>
      <c r="V141" t="b">
        <f t="shared" si="14"/>
        <v>1</v>
      </c>
      <c r="W141" t="b">
        <f t="shared" si="15"/>
        <v>1</v>
      </c>
    </row>
    <row r="142" spans="1:23" x14ac:dyDescent="0.2">
      <c r="A142" t="s">
        <v>177</v>
      </c>
      <c r="B142">
        <v>0</v>
      </c>
      <c r="C142">
        <v>0</v>
      </c>
      <c r="D142">
        <v>0</v>
      </c>
      <c r="E142">
        <v>0</v>
      </c>
      <c r="F142">
        <v>1</v>
      </c>
      <c r="J142" t="s">
        <v>177</v>
      </c>
      <c r="K142">
        <v>0</v>
      </c>
      <c r="L142">
        <v>0</v>
      </c>
      <c r="M142">
        <v>0</v>
      </c>
      <c r="N142">
        <v>0</v>
      </c>
      <c r="O142">
        <v>1</v>
      </c>
      <c r="S142" t="b">
        <f t="shared" si="11"/>
        <v>1</v>
      </c>
      <c r="T142" t="b">
        <f t="shared" si="12"/>
        <v>1</v>
      </c>
      <c r="U142" t="b">
        <f t="shared" si="13"/>
        <v>1</v>
      </c>
      <c r="V142" t="b">
        <f t="shared" si="14"/>
        <v>1</v>
      </c>
      <c r="W142" t="b">
        <f t="shared" si="15"/>
        <v>1</v>
      </c>
    </row>
    <row r="143" spans="1:23" x14ac:dyDescent="0.2">
      <c r="A143" t="s">
        <v>178</v>
      </c>
      <c r="B143">
        <v>2</v>
      </c>
      <c r="C143">
        <v>0</v>
      </c>
      <c r="D143">
        <v>1</v>
      </c>
      <c r="E143">
        <v>1</v>
      </c>
      <c r="F143">
        <v>1</v>
      </c>
      <c r="J143" t="s">
        <v>178</v>
      </c>
      <c r="K143">
        <v>2</v>
      </c>
      <c r="L143">
        <v>0</v>
      </c>
      <c r="M143">
        <v>1</v>
      </c>
      <c r="N143">
        <v>1</v>
      </c>
      <c r="O143">
        <v>1</v>
      </c>
      <c r="S143" t="b">
        <f t="shared" si="11"/>
        <v>1</v>
      </c>
      <c r="T143" t="b">
        <f t="shared" si="12"/>
        <v>1</v>
      </c>
      <c r="U143" t="b">
        <f t="shared" si="13"/>
        <v>1</v>
      </c>
      <c r="V143" t="b">
        <f t="shared" si="14"/>
        <v>1</v>
      </c>
      <c r="W143" t="b">
        <f t="shared" si="15"/>
        <v>1</v>
      </c>
    </row>
    <row r="144" spans="1:23" x14ac:dyDescent="0.2">
      <c r="A144" t="s">
        <v>179</v>
      </c>
      <c r="B144">
        <v>0</v>
      </c>
      <c r="C144">
        <v>0</v>
      </c>
      <c r="D144">
        <v>0</v>
      </c>
      <c r="E144">
        <v>0</v>
      </c>
      <c r="J144" t="s">
        <v>179</v>
      </c>
      <c r="K144">
        <v>0</v>
      </c>
      <c r="L144">
        <v>0</v>
      </c>
      <c r="M144">
        <v>0</v>
      </c>
      <c r="N144">
        <v>0</v>
      </c>
      <c r="S144" t="b">
        <f t="shared" si="11"/>
        <v>1</v>
      </c>
      <c r="T144" t="b">
        <f t="shared" si="12"/>
        <v>1</v>
      </c>
      <c r="U144" t="b">
        <f t="shared" si="13"/>
        <v>1</v>
      </c>
      <c r="V144" t="b">
        <f t="shared" si="14"/>
        <v>1</v>
      </c>
      <c r="W144" t="b">
        <f t="shared" si="15"/>
        <v>1</v>
      </c>
    </row>
    <row r="145" spans="1:23" x14ac:dyDescent="0.2">
      <c r="A145" t="s">
        <v>496</v>
      </c>
      <c r="C145">
        <v>0</v>
      </c>
      <c r="D145">
        <v>0</v>
      </c>
      <c r="E145">
        <v>0</v>
      </c>
      <c r="F145">
        <v>1</v>
      </c>
      <c r="J145" t="s">
        <v>496</v>
      </c>
      <c r="O145">
        <v>1</v>
      </c>
      <c r="S145" t="b">
        <f t="shared" si="11"/>
        <v>1</v>
      </c>
      <c r="T145" t="b">
        <f t="shared" si="12"/>
        <v>1</v>
      </c>
      <c r="U145" t="b">
        <f t="shared" si="13"/>
        <v>1</v>
      </c>
      <c r="V145" t="b">
        <f t="shared" si="14"/>
        <v>1</v>
      </c>
      <c r="W145" t="b">
        <f t="shared" si="15"/>
        <v>1</v>
      </c>
    </row>
    <row r="146" spans="1:23" x14ac:dyDescent="0.2">
      <c r="A146" t="s">
        <v>180</v>
      </c>
      <c r="B146">
        <v>0</v>
      </c>
      <c r="C146">
        <v>0</v>
      </c>
      <c r="D146">
        <v>0</v>
      </c>
      <c r="E146">
        <v>0</v>
      </c>
      <c r="J146" t="s">
        <v>180</v>
      </c>
      <c r="K146">
        <v>0</v>
      </c>
      <c r="L146">
        <v>0</v>
      </c>
      <c r="M146">
        <v>0</v>
      </c>
      <c r="N146">
        <v>0</v>
      </c>
      <c r="S146" t="b">
        <f t="shared" si="11"/>
        <v>1</v>
      </c>
      <c r="T146" t="b">
        <f t="shared" si="12"/>
        <v>1</v>
      </c>
      <c r="U146" t="b">
        <f t="shared" si="13"/>
        <v>1</v>
      </c>
      <c r="V146" t="b">
        <f t="shared" si="14"/>
        <v>1</v>
      </c>
      <c r="W146" t="b">
        <f t="shared" si="15"/>
        <v>1</v>
      </c>
    </row>
    <row r="147" spans="1:23" x14ac:dyDescent="0.2">
      <c r="A147" t="s">
        <v>182</v>
      </c>
      <c r="B147">
        <v>0</v>
      </c>
      <c r="C147">
        <v>0</v>
      </c>
      <c r="D147">
        <v>0</v>
      </c>
      <c r="E147">
        <v>0</v>
      </c>
      <c r="F147">
        <v>1</v>
      </c>
      <c r="J147" t="s">
        <v>182</v>
      </c>
      <c r="K147">
        <v>0</v>
      </c>
      <c r="L147">
        <v>0</v>
      </c>
      <c r="M147">
        <v>0</v>
      </c>
      <c r="N147">
        <v>0</v>
      </c>
      <c r="O147">
        <v>1</v>
      </c>
      <c r="S147" t="b">
        <f t="shared" si="11"/>
        <v>1</v>
      </c>
      <c r="T147" t="b">
        <f t="shared" si="12"/>
        <v>1</v>
      </c>
      <c r="U147" t="b">
        <f t="shared" si="13"/>
        <v>1</v>
      </c>
      <c r="V147" t="b">
        <f t="shared" si="14"/>
        <v>1</v>
      </c>
      <c r="W147" t="b">
        <f t="shared" si="15"/>
        <v>1</v>
      </c>
    </row>
    <row r="148" spans="1:23" x14ac:dyDescent="0.2">
      <c r="A148" t="s">
        <v>183</v>
      </c>
      <c r="B148">
        <v>1</v>
      </c>
      <c r="C148">
        <v>1</v>
      </c>
      <c r="D148">
        <v>1</v>
      </c>
      <c r="E148">
        <v>1</v>
      </c>
      <c r="J148" t="s">
        <v>183</v>
      </c>
      <c r="K148">
        <v>1</v>
      </c>
      <c r="L148">
        <v>1</v>
      </c>
      <c r="M148">
        <v>1</v>
      </c>
      <c r="N148">
        <v>1</v>
      </c>
      <c r="S148" t="b">
        <f t="shared" si="11"/>
        <v>1</v>
      </c>
      <c r="T148" t="b">
        <f t="shared" si="12"/>
        <v>1</v>
      </c>
      <c r="U148" t="b">
        <f t="shared" si="13"/>
        <v>1</v>
      </c>
      <c r="V148" t="b">
        <f t="shared" si="14"/>
        <v>1</v>
      </c>
      <c r="W148" t="b">
        <f t="shared" si="15"/>
        <v>1</v>
      </c>
    </row>
    <row r="149" spans="1:23" x14ac:dyDescent="0.2">
      <c r="A149" t="s">
        <v>497</v>
      </c>
      <c r="B149">
        <v>0</v>
      </c>
      <c r="C149">
        <v>0</v>
      </c>
      <c r="D149">
        <v>1</v>
      </c>
      <c r="E149">
        <v>0</v>
      </c>
      <c r="F149">
        <v>0</v>
      </c>
      <c r="J149" t="s">
        <v>497</v>
      </c>
      <c r="K149">
        <v>0</v>
      </c>
      <c r="L149">
        <v>0</v>
      </c>
      <c r="M149">
        <v>1</v>
      </c>
      <c r="N149">
        <v>0</v>
      </c>
      <c r="O149">
        <v>0</v>
      </c>
      <c r="S149" t="b">
        <f t="shared" si="11"/>
        <v>1</v>
      </c>
      <c r="T149" t="b">
        <f t="shared" si="12"/>
        <v>1</v>
      </c>
      <c r="U149" t="b">
        <f t="shared" si="13"/>
        <v>1</v>
      </c>
      <c r="V149" t="b">
        <f t="shared" si="14"/>
        <v>1</v>
      </c>
      <c r="W149" t="b">
        <f t="shared" si="15"/>
        <v>1</v>
      </c>
    </row>
    <row r="150" spans="1:23" x14ac:dyDescent="0.2">
      <c r="A150" t="s">
        <v>184</v>
      </c>
      <c r="B150">
        <v>2</v>
      </c>
      <c r="C150">
        <v>0</v>
      </c>
      <c r="D150">
        <v>1</v>
      </c>
      <c r="E150">
        <v>0</v>
      </c>
      <c r="F150">
        <v>1</v>
      </c>
      <c r="J150" t="s">
        <v>184</v>
      </c>
      <c r="K150">
        <v>2</v>
      </c>
      <c r="L150">
        <v>0</v>
      </c>
      <c r="M150">
        <v>1</v>
      </c>
      <c r="N150">
        <v>0</v>
      </c>
      <c r="O150">
        <v>1</v>
      </c>
      <c r="S150" t="b">
        <f t="shared" si="11"/>
        <v>1</v>
      </c>
      <c r="T150" t="b">
        <f t="shared" si="12"/>
        <v>1</v>
      </c>
      <c r="U150" t="b">
        <f t="shared" si="13"/>
        <v>1</v>
      </c>
      <c r="V150" t="b">
        <f t="shared" si="14"/>
        <v>1</v>
      </c>
      <c r="W150" t="b">
        <f t="shared" si="15"/>
        <v>1</v>
      </c>
    </row>
    <row r="151" spans="1:23" x14ac:dyDescent="0.2">
      <c r="A151" t="s">
        <v>185</v>
      </c>
      <c r="B151">
        <v>2</v>
      </c>
      <c r="C151">
        <v>0</v>
      </c>
      <c r="D151">
        <v>0</v>
      </c>
      <c r="E151">
        <v>1</v>
      </c>
      <c r="J151" t="s">
        <v>185</v>
      </c>
      <c r="K151">
        <v>2</v>
      </c>
      <c r="L151">
        <v>0</v>
      </c>
      <c r="M151">
        <v>0</v>
      </c>
      <c r="N151">
        <v>1</v>
      </c>
      <c r="S151" t="b">
        <f t="shared" si="11"/>
        <v>1</v>
      </c>
      <c r="T151" t="b">
        <f t="shared" si="12"/>
        <v>1</v>
      </c>
      <c r="U151" t="b">
        <f t="shared" si="13"/>
        <v>1</v>
      </c>
      <c r="V151" t="b">
        <f t="shared" si="14"/>
        <v>1</v>
      </c>
      <c r="W151" t="b">
        <f t="shared" si="15"/>
        <v>1</v>
      </c>
    </row>
  </sheetData>
  <conditionalFormatting sqref="S1:W1048576">
    <cfRule type="cellIs" dxfId="0" priority="1" operator="equal">
      <formula>FALSE</formula>
    </cfRule>
  </conditionalFormatting>
  <pageMargins left="0.7" right="0.7" top="0.75" bottom="0.75" header="0.3" footer="0.3"/>
  <pageSetup orientation="portrait" r:id="rId1"/>
  <headerFooter>
    <oddFooter>&amp;R_x000D_&amp;1#&amp;"Aptos"&amp;10&amp;K000000 Official Use Only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02667f-0271-471b-bd6e-11a2e16def1d" xsi:nil="true"/>
    <lcf76f155ced4ddcb4097134ff3c332f xmlns="b19ad29f-88fa-4d62-ac16-34b992563bf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B9CD767C4FF34281D6635032C5B89D" ma:contentTypeVersion="16" ma:contentTypeDescription="Create a new document." ma:contentTypeScope="" ma:versionID="3b7ad1acb7d07f4c67b79ea712f2c443">
  <xsd:schema xmlns:xsd="http://www.w3.org/2001/XMLSchema" xmlns:xs="http://www.w3.org/2001/XMLSchema" xmlns:p="http://schemas.microsoft.com/office/2006/metadata/properties" xmlns:ns2="b19ad29f-88fa-4d62-ac16-34b992563bf9" xmlns:ns3="e781ea9d-1795-4792-8d8d-c86ae526af93" xmlns:ns4="3e02667f-0271-471b-bd6e-11a2e16def1d" targetNamespace="http://schemas.microsoft.com/office/2006/metadata/properties" ma:root="true" ma:fieldsID="e0bd56705adf4bb69ae57d53dbdc9cd2" ns2:_="" ns3:_="" ns4:_="">
    <xsd:import namespace="b19ad29f-88fa-4d62-ac16-34b992563bf9"/>
    <xsd:import namespace="e781ea9d-1795-4792-8d8d-c86ae526af93"/>
    <xsd:import namespace="3e02667f-0271-471b-bd6e-11a2e16def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9ad29f-88fa-4d62-ac16-34b992563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1ea9d-1795-4792-8d8d-c86ae526af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02667f-0271-471b-bd6e-11a2e16def1d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cc853c46-c553-4b11-84c2-206fb6ca329a}" ma:internalName="TaxCatchAll" ma:showField="CatchAllData" ma:web="e781ea9d-1795-4792-8d8d-c86ae526af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480555-FFD5-4FE0-A894-482D4B002F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ED005E-A32D-4A12-AB3F-2C25D7ACBB61}">
  <ds:schemaRefs>
    <ds:schemaRef ds:uri="b19ad29f-88fa-4d62-ac16-34b992563bf9"/>
    <ds:schemaRef ds:uri="http://www.w3.org/XML/1998/namespace"/>
    <ds:schemaRef ds:uri="http://purl.org/dc/elements/1.1/"/>
    <ds:schemaRef ds:uri="3e02667f-0271-471b-bd6e-11a2e16def1d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e781ea9d-1795-4792-8d8d-c86ae526af93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6A35A2-240D-4BB0-84F0-593E5263A1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9ad29f-88fa-4d62-ac16-34b992563bf9"/>
    <ds:schemaRef ds:uri="e781ea9d-1795-4792-8d8d-c86ae526af93"/>
    <ds:schemaRef ds:uri="3e02667f-0271-471b-bd6e-11a2e16def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2016-20 DCS</vt:lpstr>
      <vt:lpstr>NSO websites</vt:lpstr>
      <vt:lpstr>15 vs 14 2002-2006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Junhe Yang</dc:creator>
  <cp:keywords/>
  <dc:description/>
  <cp:lastModifiedBy>Zander Prinsloo</cp:lastModifiedBy>
  <cp:revision/>
  <dcterms:created xsi:type="dcterms:W3CDTF">2016-08-29T18:55:34Z</dcterms:created>
  <dcterms:modified xsi:type="dcterms:W3CDTF">2026-10-21T11:18:41Z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0x010100ADB9CD767C4FF34281D6635032C5B89D</vt:lpwstr>
  </property>
  <property fmtid="{D5CDD505-2E9C-101B-9397-08002B2CF9AE}" pid="3" name="WBDocs_Originating_Unit">
    <vt:lpwstr>5;#DECDG - Development Data Group|2ae5ce6c-bf4c-4936-8a28-da4d57c09588</vt:lpwstr>
  </property>
  <property fmtid="{D5CDD505-2E9C-101B-9397-08002B2CF9AE}" pid="4" name="WBDocs_Local_Document_Type">
    <vt:lpwstr/>
  </property>
  <property fmtid="{D5CDD505-2E9C-101B-9397-08002B2CF9AE}" pid="5" name="MediaServiceImageTags">
    <vt:lpwstr/>
  </property>
  <property fmtid="{D5CDD505-2E9C-101B-9397-08002B2CF9AE}" pid="6" name="lcf76f155ced4ddcb4097134ff3c332f">
    <vt:lpwstr/>
  </property>
  <property fmtid="{D5CDD505-2E9C-101B-9397-08002B2CF9AE}" pid="7" name="MSIP_Label_f1bf45b6-5649-4236-82a3-f45024cd282e_Enabled">
    <vt:lpwstr>true</vt:lpwstr>
  </property>
  <property fmtid="{D5CDD505-2E9C-101B-9397-08002B2CF9AE}" pid="8" name="MSIP_Label_f1bf45b6-5649-4236-82a3-f45024cd282e_SetDate">
    <vt:lpwstr>2026-10-21T11:01:28Z</vt:lpwstr>
  </property>
  <property fmtid="{D5CDD505-2E9C-101B-9397-08002B2CF9AE}" pid="9" name="MSIP_Label_f1bf45b6-5649-4236-82a3-f45024cd282e_Method">
    <vt:lpwstr>Standard</vt:lpwstr>
  </property>
  <property fmtid="{D5CDD505-2E9C-101B-9397-08002B2CF9AE}" pid="10" name="MSIP_Label_f1bf45b6-5649-4236-82a3-f45024cd282e_Name">
    <vt:lpwstr>Official Use Only</vt:lpwstr>
  </property>
  <property fmtid="{D5CDD505-2E9C-101B-9397-08002B2CF9AE}" pid="11" name="MSIP_Label_f1bf45b6-5649-4236-82a3-f45024cd282e_SiteId">
    <vt:lpwstr>31a2fec0-266b-4c67-b56e-2796d8f59c36</vt:lpwstr>
  </property>
  <property fmtid="{D5CDD505-2E9C-101B-9397-08002B2CF9AE}" pid="12" name="MSIP_Label_f1bf45b6-5649-4236-82a3-f45024cd282e_ActionId">
    <vt:lpwstr>30e474a1-3c8f-4bf2-bb35-b3324eacb7bb</vt:lpwstr>
  </property>
  <property fmtid="{D5CDD505-2E9C-101B-9397-08002B2CF9AE}" pid="13" name="MSIP_Label_f1bf45b6-5649-4236-82a3-f45024cd282e_ContentBits">
    <vt:lpwstr>2</vt:lpwstr>
  </property>
  <property fmtid="{D5CDD505-2E9C-101B-9397-08002B2CF9AE}" pid="14" name="MSIP_Label_f1bf45b6-5649-4236-82a3-f45024cd282e_Tag">
    <vt:lpwstr>50, 3, 0, 1</vt:lpwstr>
  </property>
</Properties>
</file>